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tables/table4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prise" sheetId="1" state="visible" r:id="rId1"/>
    <sheet name="Archive - Setup Raspberry" sheetId="2" state="visible" r:id="rId2"/>
    <sheet name="Archive - Mache à état" sheetId="3" state="visible" r:id="rId3"/>
    <sheet name="Archive - Cahier des charges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<sst xmlns="http://schemas.openxmlformats.org/spreadsheetml/2006/main" count="363" uniqueCount="363">
  <si>
    <t xml:space="preserve">Jukebox : se poser avec feuille et réfléchir sur le lecteur, prévoir taff dans les prochains jours, dessin du rendu final, s'aider de ce qui existe</t>
  </si>
  <si>
    <t xml:space="preserve">Détailler chaques étapes et ordre avant de commencer</t>
  </si>
  <si>
    <t xml:space="preserve">Filmer les anvancées avec les pièces 3D</t>
  </si>
  <si>
    <t>Tâches</t>
  </si>
  <si>
    <t>Détail</t>
  </si>
  <si>
    <t>Avancée</t>
  </si>
  <si>
    <t xml:space="preserve">Etapes Construction</t>
  </si>
  <si>
    <t xml:space="preserve">Etapes Modé 3D</t>
  </si>
  <si>
    <t xml:space="preserve">Etapes programmation</t>
  </si>
  <si>
    <t xml:space="preserve">Pièces 3D</t>
  </si>
  <si>
    <t xml:space="preserve">Ranger le bureau pour avoir de l'espace pour taffer</t>
  </si>
  <si>
    <t xml:space="preserve">Relancer pour voir ce que ça donne</t>
  </si>
  <si>
    <t>Etapes</t>
  </si>
  <si>
    <t>Status</t>
  </si>
  <si>
    <t>Pièce</t>
  </si>
  <si>
    <t xml:space="preserve">Pièce globale</t>
  </si>
  <si>
    <t xml:space="preserve">Pièce 3D</t>
  </si>
  <si>
    <t>Précision</t>
  </si>
  <si>
    <t>Dimensions2</t>
  </si>
  <si>
    <t>Colonne5</t>
  </si>
  <si>
    <t>Colonne1</t>
  </si>
  <si>
    <t xml:space="preserve">Mouvements structure</t>
  </si>
  <si>
    <t xml:space="preserve">Tester accroche CD</t>
  </si>
  <si>
    <t>Ok</t>
  </si>
  <si>
    <t xml:space="preserve">A chaque fois tester les dimensions avant les pièces entières</t>
  </si>
  <si>
    <t xml:space="preserve">Déplacement X Y manuel</t>
  </si>
  <si>
    <t xml:space="preserve">STL Prêt</t>
  </si>
  <si>
    <t xml:space="preserve">Prise CD</t>
  </si>
  <si>
    <t xml:space="preserve">Pièce dos cd avec aimant</t>
  </si>
  <si>
    <t xml:space="preserve">Trouver 2 capteurs fin de course</t>
  </si>
  <si>
    <t xml:space="preserve">Tester prise CD avec electro aimant</t>
  </si>
  <si>
    <t xml:space="preserve">Fixer elecamant sur déplacement Z</t>
  </si>
  <si>
    <t xml:space="preserve">Déplacement Z manuel</t>
  </si>
  <si>
    <t xml:space="preserve">Largeur tube dans cd</t>
  </si>
  <si>
    <t xml:space="preserve">1,48cm pour une largeur de 1,5cm</t>
  </si>
  <si>
    <t xml:space="preserve">Placements : </t>
  </si>
  <si>
    <t xml:space="preserve">- En bas, s'aider de la plaque pour bloquer la descente, sur la droite
- En haut, coller le capteur plus bas, sur le raill. 
- A droite, OK
-A gauche, fixer comme droite</t>
  </si>
  <si>
    <t xml:space="preserve">Tester déplacement elec aimant Z</t>
  </si>
  <si>
    <t xml:space="preserve">Fixer déplacementZ sur armature imprimante</t>
  </si>
  <si>
    <t xml:space="preserve">Pièce OK mais tester deplacement. REFAIRE ??</t>
  </si>
  <si>
    <t xml:space="preserve">Contrôle électro aimant</t>
  </si>
  <si>
    <t xml:space="preserve">Largeur tige qui va dans le plateau du lecteur</t>
  </si>
  <si>
    <t xml:space="preserve">0,57cm pour une largeur de 0,6cm</t>
  </si>
  <si>
    <t xml:space="preserve">On mets au max, la positon des cds se fera via config manuelle</t>
  </si>
  <si>
    <t xml:space="preserve">Utiliser de la colle ? 
FAIRE des rallonges</t>
  </si>
  <si>
    <t xml:space="preserve">Tester déplacement X et Y</t>
  </si>
  <si>
    <t xml:space="preserve">Nickel !</t>
  </si>
  <si>
    <t xml:space="preserve">Pièce sur CD</t>
  </si>
  <si>
    <t xml:space="preserve">Chanfrein pour épouser la forme du plateau</t>
  </si>
  <si>
    <t xml:space="preserve">1,8cm pour une largent de 1,8cm</t>
  </si>
  <si>
    <t xml:space="preserve">Récupérer le signal de la raspberry sur le container docker</t>
  </si>
  <si>
    <t xml:space="preserve">        Regarder lesquels sont branchés où dans le code</t>
  </si>
  <si>
    <t xml:space="preserve">Installer lecteur CD</t>
  </si>
  <si>
    <t xml:space="preserve">Support cd avec plaque metal, faire un bout qui depasse, pour centrer le cd</t>
  </si>
  <si>
    <t xml:space="preserve">Lien Docker Pins</t>
  </si>
  <si>
    <t xml:space="preserve">Pièce face cd avec rondelle</t>
  </si>
  <si>
    <t xml:space="preserve">Vérifier potentiomètres moteurs, calcul à la main !! Sans IA au début, puis on vérifie
Pb : Moteur X fait du bruit quand branché</t>
  </si>
  <si>
    <t xml:space="preserve">Plaque avec support Cds et lecteur, prévoir place lecteur !</t>
  </si>
  <si>
    <t xml:space="preserve">Vérifier le code pour pour tester manuellement
- Fonction moveX/Y, ajouter le recul si capteur detecté</t>
  </si>
  <si>
    <t xml:space="preserve">Ralonge câbles</t>
  </si>
  <si>
    <t xml:space="preserve">Modéliser rendu final, pour voir où placer quoi</t>
  </si>
  <si>
    <t xml:space="preserve">Pb lecteur, le changer ??</t>
  </si>
  <si>
    <t xml:space="preserve">A faire</t>
  </si>
  <si>
    <t xml:space="preserve">Teste manuel déplacement : 
# Bloquer les fonctions move quand detecté + recule 20 pas par ex
- Machine a état : simple et efficace (repars à 0 ? + ajouter compteur )
    # Retourner le nb de pas effectuer dans les move()
    # Calcul distance max : bas/gauche-haut/droite
    # Menu parametrage positions manuel
        # Voir dessin
- Calcul pas de déplacement pour aller àla pos voulu
- Appeler GoToPos 2 fois : aller de a à b avec action sur CD, PUIS aller de b à c avec action CD
-Trouver hauteur de déplacement de l'elecAimant, + des fois il bug au déplacement, et ne bouge pas/pas assez...
</t>
  </si>
  <si>
    <t xml:space="preserve">Prévoir tiges? pour fixer armature à planche, avec une certaine distance</t>
  </si>
  <si>
    <t xml:space="preserve">PREVOIR DES DETECTEURS DE FIN DE COURSE</t>
  </si>
  <si>
    <t xml:space="preserve"> </t>
  </si>
  <si>
    <t xml:space="preserve">IMPRIMER PIECES</t>
  </si>
  <si>
    <t xml:space="preserve">Construire stucture</t>
  </si>
  <si>
    <t xml:space="preserve">Prêt, j'ai déjà la pièce</t>
  </si>
  <si>
    <t xml:space="preserve">Support pose cd sur mur</t>
  </si>
  <si>
    <t>Font</t>
  </si>
  <si>
    <t xml:space="preserve">Calculer nb step pour chaque positions</t>
  </si>
  <si>
    <t xml:space="preserve">Utiliser les plateaux de lecteurs aimantés</t>
  </si>
  <si>
    <t xml:space="preserve">Tous les cd se refresh quand on dragNdrop</t>
  </si>
  <si>
    <t xml:space="preserve">Construire machine</t>
  </si>
  <si>
    <t xml:space="preserve">Code général : machine à état</t>
  </si>
  <si>
    <t xml:space="preserve">Une fois que tout fonctionne manuellement</t>
  </si>
  <si>
    <t xml:space="preserve">Lecteur CD</t>
  </si>
  <si>
    <t xml:space="preserve">Nouveau lecteur à trouver</t>
  </si>
  <si>
    <t xml:space="preserve">Trouver ouverture par le dessus, avec une tige de lecteur assez grande</t>
  </si>
  <si>
    <t>AliExpress</t>
  </si>
  <si>
    <t xml:space="preserve">Déplacement elec aimant</t>
  </si>
  <si>
    <t xml:space="preserve">Avec 4 fixation comme celui actuel</t>
  </si>
  <si>
    <t xml:space="preserve">Créer image déjà prête, sans imager toute la carte SD. MàJ doc raspberry/0_software/0_initialisation_raspberry.md</t>
  </si>
  <si>
    <t xml:space="preserve">Tester lecture CD</t>
  </si>
  <si>
    <t xml:space="preserve">"... the image in XXX filder ..."</t>
  </si>
  <si>
    <t xml:space="preserve">Changer le support</t>
  </si>
  <si>
    <t xml:space="preserve">Partie délicate</t>
  </si>
  <si>
    <t xml:space="preserve">Sortir le lecteur, check les branchements</t>
  </si>
  <si>
    <t xml:space="preserve">J'espère j'ai les mêmes</t>
  </si>
  <si>
    <t xml:space="preserve">Remplacer sur la jukebox</t>
  </si>
  <si>
    <t xml:space="preserve">CR2ER IMAGE DE LA CARTE SD DE LA RASPBERRY</t>
  </si>
  <si>
    <t xml:space="preserve">V2RIFIER README</t>
  </si>
  <si>
    <t xml:space="preserve">Machine à états</t>
  </si>
  <si>
    <t>Wait</t>
  </si>
  <si>
    <t xml:space="preserve">Attente d'instructions</t>
  </si>
  <si>
    <t xml:space="preserve">MoveCdFromTo (X/Y, Z, aimant, Z, X/Y, Z, aimant, Z)</t>
  </si>
  <si>
    <t xml:space="preserve">Déplace un CD d'une position à une autre</t>
  </si>
  <si>
    <t>GoToOrigin</t>
  </si>
  <si>
    <t xml:space="preserve">Va à l'origine jusqu'à déclencher les pas à pas</t>
  </si>
  <si>
    <t>Play/pause/stop</t>
  </si>
  <si>
    <t xml:space="preserve">Pour ces actions, liste d'attente ? Ou alors on accepte une nouvelle opération dès que celle en cours est terminée</t>
  </si>
  <si>
    <t xml:space="preserve">PCB avec raspberry, driver moteurs, alims...</t>
  </si>
  <si>
    <t xml:space="preserve">1 alim pour moteurs, raspberry, lecteur</t>
  </si>
  <si>
    <t xml:space="preserve">fichier update_jukebox : faire tous les scritp en 1 ?</t>
  </si>
  <si>
    <t xml:space="preserve">Dernière vérif avec multimetre pour valider les moteurs PàP</t>
  </si>
  <si>
    <t xml:space="preserve">Déplacement en Z elecAimant</t>
  </si>
  <si>
    <t xml:space="preserve">Réimprimer ?? Trouver une imprimante</t>
  </si>
  <si>
    <t xml:space="preserve">Application, afficher les CD enregistés : fomarter la hauteur de l'image et largeur pareil pour tout. Ex : ADC et PBB</t>
  </si>
  <si>
    <t xml:space="preserve">Animation photo d'un album lancé</t>
  </si>
  <si>
    <t xml:space="preserve">Vidéo présentation</t>
  </si>
  <si>
    <t xml:space="preserve">Camera film machine et ecran, l'un a cote de l'autre, les enceintes de chaque côté de la jukebox</t>
  </si>
  <si>
    <t xml:space="preserve">On démarre, on va sur le site</t>
  </si>
  <si>
    <t xml:space="preserve">On lance un premier CD</t>
  </si>
  <si>
    <t>Play/pause/volume/suivant...</t>
  </si>
  <si>
    <t xml:space="preserve">On change le CD ,on le lance</t>
  </si>
  <si>
    <t xml:space="preserve">AJouter/modifier/supprimer dans les CD enregistrés</t>
  </si>
  <si>
    <t xml:space="preserve">On change des CDs sur l'interface</t>
  </si>
  <si>
    <t xml:space="preserve">On changer également un cd de la jukebox, changement support</t>
  </si>
  <si>
    <t xml:space="preserve">Lancement nouveau CD</t>
  </si>
  <si>
    <t>Steps</t>
  </si>
  <si>
    <t>command</t>
  </si>
  <si>
    <t xml:space="preserve">Setup raspOs lite</t>
  </si>
  <si>
    <t xml:space="preserve">Raspberry Pi imager</t>
  </si>
  <si>
    <t xml:space="preserve">Install pip3</t>
  </si>
  <si>
    <t xml:space="preserve">apt install python3-pip</t>
  </si>
  <si>
    <t xml:space="preserve">Copy files backend</t>
  </si>
  <si>
    <t xml:space="preserve">Branchez votre clé USB sur votre ordinateur.</t>
  </si>
  <si>
    <t xml:space="preserve">Ouvrez un terminal.</t>
  </si>
  <si>
    <r>
      <t xml:space="preserve">Identifiez le nom de périphérique de votre clé USB. Vous pouvez le faire en utilisant la commande </t>
    </r>
    <r>
      <rPr>
        <sz val="9.5999999999999996"/>
        <color rgb="FF0D0D0D"/>
        <rFont val="Courier New"/>
      </rPr>
      <t>lsblk</t>
    </r>
    <r>
      <rPr>
        <sz val="10"/>
        <color rgb="FF0D0D0D"/>
        <rFont val="Segoe UI"/>
      </rPr>
      <t xml:space="preserve">. Par exemple, votre clé USB pourrait être identifiée comme </t>
    </r>
    <r>
      <rPr>
        <sz val="9.5999999999999996"/>
        <color rgb="FF0D0D0D"/>
        <rFont val="Courier New"/>
      </rPr>
      <t>/dev/sdb</t>
    </r>
    <r>
      <rPr>
        <sz val="10"/>
        <color rgb="FF0D0D0D"/>
        <rFont val="Segoe UI"/>
      </rPr>
      <t>.</t>
    </r>
  </si>
  <si>
    <r>
      <t xml:space="preserve">Montez la clé USB. Si elle n'est pas déjà montée automatiquement, vous pouvez le faire en utilisant la commande </t>
    </r>
    <r>
      <rPr>
        <sz val="9.5999999999999996"/>
        <color rgb="FF0D0D0D"/>
        <rFont val="Courier New"/>
      </rPr>
      <t xml:space="preserve">sudo mount /dev/sdX /mnt</t>
    </r>
    <r>
      <rPr>
        <sz val="10"/>
        <color rgb="FF0D0D0D"/>
        <rFont val="Segoe UI"/>
      </rPr>
      <t xml:space="preserve">, où </t>
    </r>
    <r>
      <rPr>
        <sz val="9.5999999999999996"/>
        <color rgb="FF0D0D0D"/>
        <rFont val="Courier New"/>
      </rPr>
      <t>/dev/sdX</t>
    </r>
    <r>
      <rPr>
        <sz val="10"/>
        <color rgb="FF0D0D0D"/>
        <rFont val="Segoe UI"/>
      </rPr>
      <t xml:space="preserve"> est le nom de périphérique de votre clé USB.</t>
    </r>
  </si>
  <si>
    <t xml:space="preserve">Se connecter en wifi : sudo raspi-config, system option, WLAN</t>
  </si>
  <si>
    <r>
      <t xml:space="preserve">Accédez au répertoire où vous souhaitez copier les fichiers. Par exemple, </t>
    </r>
    <r>
      <rPr>
        <sz val="9.5999999999999996"/>
        <color rgb="FF0D0D0D"/>
        <rFont val="Courier New"/>
      </rPr>
      <t xml:space="preserve">cd /home/charl/jukebox</t>
    </r>
    <r>
      <rPr>
        <sz val="10"/>
        <color rgb="FF0D0D0D"/>
        <rFont val="Segoe UI"/>
      </rPr>
      <t>.</t>
    </r>
  </si>
  <si>
    <t xml:space="preserve">Installer docker</t>
  </si>
  <si>
    <t xml:space="preserve">1. Assure-toi que ton système est à jour :</t>
  </si>
  <si>
    <r>
      <t xml:space="preserve">Copiez les fichiers de la clé USB vers ce répertoire en utilisant la commande </t>
    </r>
    <r>
      <rPr>
        <sz val="9.5999999999999996"/>
        <color rgb="FF0D0D0D"/>
        <rFont val="Courier New"/>
      </rPr>
      <t xml:space="preserve">sudo cp -r /mnt/* .</t>
    </r>
    <r>
      <rPr>
        <sz val="10"/>
        <color rgb="FF0D0D0D"/>
        <rFont val="Segoe UI"/>
      </rPr>
      <t xml:space="preserve"> Cette commande copiera tous les fichiers et dossiers de la clé USB vers le dossier </t>
    </r>
    <r>
      <rPr>
        <sz val="9.5999999999999996"/>
        <color rgb="FF0D0D0D"/>
        <rFont val="Courier New"/>
      </rPr>
      <t>/home/charl/jukebox</t>
    </r>
    <r>
      <rPr>
        <sz val="10"/>
        <color rgb="FF0D0D0D"/>
        <rFont val="Segoe UI"/>
      </rPr>
      <t>.</t>
    </r>
  </si>
  <si>
    <t xml:space="preserve">sudo apt update &amp;&amp; sudo apt upgrade -y</t>
  </si>
  <si>
    <r>
      <t xml:space="preserve">Une fois la copie terminée, vous pouvez démonter la clé USB en utilisant la commande </t>
    </r>
    <r>
      <rPr>
        <sz val="9.5999999999999996"/>
        <color rgb="FF0D0D0D"/>
        <rFont val="Courier New"/>
      </rPr>
      <t xml:space="preserve">sudo umount /mnt</t>
    </r>
    <r>
      <rPr>
        <sz val="10"/>
        <color rgb="FF0D0D0D"/>
        <rFont val="Segoe UI"/>
      </rPr>
      <t>.</t>
    </r>
  </si>
  <si>
    <t xml:space="preserve">2. Installe les dépendances :</t>
  </si>
  <si>
    <t xml:space="preserve">Débranchez votre clé USB en toute sécurité.</t>
  </si>
  <si>
    <t xml:space="preserve">sudo apt install -y ca-certificates curl gnupg lsb-release</t>
  </si>
  <si>
    <t xml:space="preserve">Install requirements</t>
  </si>
  <si>
    <t xml:space="preserve">pip3 install -r requirements</t>
  </si>
  <si>
    <t xml:space="preserve">3. Ajoute la clé GPG officielle de Docker :</t>
  </si>
  <si>
    <t xml:space="preserve">Test exec python app</t>
  </si>
  <si>
    <t xml:space="preserve">python3 app.py</t>
  </si>
  <si>
    <t xml:space="preserve">sudo mkdir -p /etc/apt/keyrings</t>
  </si>
  <si>
    <t xml:space="preserve">Create systemctl file</t>
  </si>
  <si>
    <t xml:space="preserve">nano /etc/systemd/system/jukebox.service</t>
  </si>
  <si>
    <t xml:space="preserve">curl -fsSL https://download.docker.com/linux/debian/gpg | sudo gpg --dearmor -o /etc/apt/keyrings/docker.gpg</t>
  </si>
  <si>
    <t xml:space="preserve">(permet de démarrer l'app au lancement de la rasp)</t>
  </si>
  <si>
    <t>[Unit]</t>
  </si>
  <si>
    <t xml:space="preserve">4. Ajoute le dépôt Docker compatible ARM :</t>
  </si>
  <si>
    <t xml:space="preserve">Description=Flask App</t>
  </si>
  <si>
    <t xml:space="preserve">echo \</t>
  </si>
  <si>
    <t>After=network.target</t>
  </si>
  <si>
    <t xml:space="preserve">  "deb [arch=armhf signed-by=/etc/apt/keyrings/docker.gpg] https://download.docker.com/linux/debian \</t>
  </si>
  <si>
    <t>[Service]</t>
  </si>
  <si>
    <t xml:space="preserve">  $(lsb_release -cs) stable" | \</t>
  </si>
  <si>
    <t>User=root</t>
  </si>
  <si>
    <t xml:space="preserve">  sudo tee /etc/apt/sources.list.d/docker.list &gt; /dev/null</t>
  </si>
  <si>
    <t>Group=root</t>
  </si>
  <si>
    <t xml:space="preserve">5. Met à jour les paquets avec le nouveau dépôt :</t>
  </si>
  <si>
    <t>WorkingDirectory=/home/charl/jukebox/backend</t>
  </si>
  <si>
    <t xml:space="preserve">sudo apt update</t>
  </si>
  <si>
    <t xml:space="preserve">ExecStart=/usr/bin/python3 /home/charl/jukebox/backend/app.py</t>
  </si>
  <si>
    <t xml:space="preserve">6. Installe Docker Engine :</t>
  </si>
  <si>
    <t>Restart=always</t>
  </si>
  <si>
    <t xml:space="preserve">sudo apt install -y docker-ce docker-ce-cli containerd.io docker-buildx-plugin docker-compose-plugin</t>
  </si>
  <si>
    <t>[Install]</t>
  </si>
  <si>
    <t>WantedBy=multi-user.target</t>
  </si>
  <si>
    <t xml:space="preserve">sudo systemctl daemon-reload</t>
  </si>
  <si>
    <t xml:space="preserve">sudo systemctl start jukebox</t>
  </si>
  <si>
    <t xml:space="preserve">sudo systemctl status jukebox</t>
  </si>
  <si>
    <t xml:space="preserve">sudo systemctl enable jukebox</t>
  </si>
  <si>
    <t xml:space="preserve">SSH connection with access to python app, ethernet</t>
  </si>
  <si>
    <t xml:space="preserve">ssh -L 5025:127.0.0.1:5025 charl@169.254.76.59, si pb voir ssh_raspberry.md</t>
  </si>
  <si>
    <t>Variables</t>
  </si>
  <si>
    <t>Explocation</t>
  </si>
  <si>
    <t>Init</t>
  </si>
  <si>
    <t>NewAction</t>
  </si>
  <si>
    <t>GoToPos</t>
  </si>
  <si>
    <t>Play</t>
  </si>
  <si>
    <t>Pause</t>
  </si>
  <si>
    <t>Stop</t>
  </si>
  <si>
    <t>maxStepX</t>
  </si>
  <si>
    <t xml:space="preserve">Int, nb de step pour aller d'un côté à l'autre</t>
  </si>
  <si>
    <t xml:space="preserve">MoveX(, "cw") jusqu'à la limite (interrupteur se déclenche)</t>
  </si>
  <si>
    <t xml:space="preserve">Permet de replacer la jukebox en bas a gauche</t>
  </si>
  <si>
    <t xml:space="preserve">Attente d'un action</t>
  </si>
  <si>
    <t xml:space="preserve">On récupère l'action voulu : placer un cd, enlever, wait</t>
  </si>
  <si>
    <t xml:space="preserve">On se déplace en X et Y aux coordonnées coordGoTo</t>
  </si>
  <si>
    <t xml:space="preserve">Change actualPlayerAction a play</t>
  </si>
  <si>
    <t xml:space="preserve">Change actualPlayerAction a pause</t>
  </si>
  <si>
    <t xml:space="preserve">Change actualPlayerAction a stop</t>
  </si>
  <si>
    <t>maxStepY</t>
  </si>
  <si>
    <t xml:space="preserve">Préparer une variable maxStepX, à 0</t>
  </si>
  <si>
    <t xml:space="preserve">While nextStep null</t>
  </si>
  <si>
    <t xml:space="preserve">Si wait</t>
  </si>
  <si>
    <t xml:space="preserve">On avance en Z pour se rapprocher du lecteur</t>
  </si>
  <si>
    <t xml:space="preserve">On range le cd actuel a sa position</t>
  </si>
  <si>
    <t xml:space="preserve">MoveX(, "ccw") jusqu'à la limite (interrupteur se déclenche), et incrémente maxStepX</t>
  </si>
  <si>
    <t xml:space="preserve">Prochain état : wait</t>
  </si>
  <si>
    <t xml:space="preserve">on active l'electroaimant</t>
  </si>
  <si>
    <t>nextCd</t>
  </si>
  <si>
    <t xml:space="preserve">Int, contient l'id du cCD qu'on souhaite positionner</t>
  </si>
  <si>
    <t xml:space="preserve">Sauvegarder le nombre de step pour aller de droite à gauche</t>
  </si>
  <si>
    <t xml:space="preserve">on recule en Z</t>
  </si>
  <si>
    <t>previousCd</t>
  </si>
  <si>
    <t xml:space="preserve">Int, contient l'id du CD si il y en a un sur le player (de 1 à 9, sauf 5 le lecteur)</t>
  </si>
  <si>
    <t xml:space="preserve">Si enlever</t>
  </si>
  <si>
    <t xml:space="preserve">On se déplace en X et Y aux coordonnées coordGoToAfter</t>
  </si>
  <si>
    <t>coordGoTo</t>
  </si>
  <si>
    <t xml:space="preserve">Coordonnées ou doit se déplacer l'electroaimant</t>
  </si>
  <si>
    <t xml:space="preserve">MoveY(, "cw") jusqu'à la limite (interrupteur se déclenche)</t>
  </si>
  <si>
    <t xml:space="preserve">GoToPos = 5 (position du lecteur)</t>
  </si>
  <si>
    <t xml:space="preserve">On avance en Z pour se rapprocher de la position</t>
  </si>
  <si>
    <t>coordGoToAfter</t>
  </si>
  <si>
    <t xml:space="preserve">Coordonnées ou doit se rendre l'elecroaimant ensuite (avant coordonnées ou prendre un cd, la ou poser)</t>
  </si>
  <si>
    <t xml:space="preserve">Préparer une variable maxStepY, à 0</t>
  </si>
  <si>
    <t xml:space="preserve">GoToPosAfter = previousCd ( l'id du dernier cd poser sur le lecteur)</t>
  </si>
  <si>
    <t xml:space="preserve">On desactive l'electroaimant</t>
  </si>
  <si>
    <t>locationsPos</t>
  </si>
  <si>
    <t xml:space="preserve">JSON, contient les 9 position possible (dont 5 pos du lecteur), avec nb de step pour aller a chaque, en partant de l'origin</t>
  </si>
  <si>
    <t xml:space="preserve">MoveY(, "ccw") jusqu'à la limite (interrupteur se déclenche), et incrémente maxStepY</t>
  </si>
  <si>
    <t xml:space="preserve">Prochain état : GoToPos</t>
  </si>
  <si>
    <t xml:space="preserve">Sauvegarder le nombre de step pour aller de bas en haut</t>
  </si>
  <si>
    <t>playerActions</t>
  </si>
  <si>
    <t xml:space="preserve">Liste des différentes action : play, pause, stop</t>
  </si>
  <si>
    <t>actualPlayerAction</t>
  </si>
  <si>
    <t xml:space="preserve">valeur stop de base</t>
  </si>
  <si>
    <t xml:space="preserve">Si placer</t>
  </si>
  <si>
    <t xml:space="preserve">Si la var previousCd est diffférente de 0, alors un CD est sur le lecteur</t>
  </si>
  <si>
    <t>nextState</t>
  </si>
  <si>
    <t xml:space="preserve">GoToPos = previousCd, normalement init a l'ajout d'un cd</t>
  </si>
  <si>
    <t xml:space="preserve">Prochaine état : GoToOrigin</t>
  </si>
  <si>
    <t xml:space="preserve">Prochain état : Wait</t>
  </si>
  <si>
    <t xml:space="preserve">GoToPosAfter = position du lecteur </t>
  </si>
  <si>
    <t xml:space="preserve">Prochain etat : NewAction(wait)</t>
  </si>
  <si>
    <t xml:space="preserve">Prochain etat : wait</t>
  </si>
  <si>
    <t xml:space="preserve">previousCd = 0</t>
  </si>
  <si>
    <t xml:space="preserve">Si la var previousCD == 0</t>
  </si>
  <si>
    <t xml:space="preserve">previousCd = nouvelle valeur</t>
  </si>
  <si>
    <t xml:space="preserve">nextCd est la position du lecteur</t>
  </si>
  <si>
    <t xml:space="preserve">GoToPos = position previousCD</t>
  </si>
  <si>
    <t xml:space="preserve">Setup positions manuellement des coordonnées</t>
  </si>
  <si>
    <t xml:space="preserve">Départ à l'origin</t>
  </si>
  <si>
    <t xml:space="preserve">CD en place ?</t>
  </si>
  <si>
    <t xml:space="preserve">Utiisation du clavier, 4 flèches de direction</t>
  </si>
  <si>
    <t xml:space="preserve">Déplacement en XY</t>
  </si>
  <si>
    <t xml:space="preserve">Si oui va au lecteur</t>
  </si>
  <si>
    <t xml:space="preserve">Déplacement de l'aimant jusqu'en face des cds</t>
  </si>
  <si>
    <t xml:space="preserve">Approche ventouse</t>
  </si>
  <si>
    <t xml:space="preserve">Récupère en mémoire la position du cd, et le dépose la bas</t>
  </si>
  <si>
    <t xml:space="preserve">Compter le nb de step pour aller à un emplacement</t>
  </si>
  <si>
    <t xml:space="preserve">Ventouse ON</t>
  </si>
  <si>
    <t xml:space="preserve">Fin si</t>
  </si>
  <si>
    <t xml:space="preserve">Sauvegarder cette valeur dans un json ?</t>
  </si>
  <si>
    <t xml:space="preserve">Recule ventouse</t>
  </si>
  <si>
    <t xml:space="preserve">Récupérer le cd voulu, à sa position</t>
  </si>
  <si>
    <t xml:space="preserve">Va sur le lecteur, pose le cd</t>
  </si>
  <si>
    <t xml:space="preserve">Sauvegarde la position du cd sur le lecteur</t>
  </si>
  <si>
    <t xml:space="preserve">Ventouse OFF</t>
  </si>
  <si>
    <t xml:space="preserve">Déplamcenet origin</t>
  </si>
  <si>
    <t xml:space="preserve">Partie App</t>
  </si>
  <si>
    <t>Priorité</t>
  </si>
  <si>
    <t xml:space="preserve">Page d'accueil, qui affiche les CDs dispos</t>
  </si>
  <si>
    <t xml:space="preserve">Fichier JSON pour stocker les données, comme il n'y en a pas bcp</t>
  </si>
  <si>
    <t xml:space="preserve">Attributs CD : nom album, artiste, photo phochette, nombre de tracks, année sortie, position jukebox (numéro de 1 à 9, avec lecteur cd = 5)</t>
  </si>
  <si>
    <t xml:space="preserve">Boutons pour ajouter/modifier/supprimer CD</t>
  </si>
  <si>
    <t xml:space="preserve">Bouton Play/Pause/Stop</t>
  </si>
  <si>
    <t xml:space="preserve">Play : Lance le cd (ajoute le cd sur le lecteur, et lance le lecteur)</t>
  </si>
  <si>
    <t xml:space="preserve">Pause : Stop le cd (pause sur le lecteur)</t>
  </si>
  <si>
    <t xml:space="preserve">Stop : Enlève le cd du lecteur (remet le cd à sa place)</t>
  </si>
  <si>
    <t xml:space="preserve">Afficher un lecteur cd sur l'app</t>
  </si>
  <si>
    <t xml:space="preserve">CD tourne si Play</t>
  </si>
  <si>
    <t xml:space="preserve">CD tourne pas si Pause</t>
  </si>
  <si>
    <t xml:space="preserve">Rien si Stop</t>
  </si>
  <si>
    <t xml:space="preserve">Même mise en forme que la jukebox, avec lecteur cd au milieu et CDs autour</t>
  </si>
  <si>
    <t xml:space="preserve">Possibilité de changer de place un CD </t>
  </si>
  <si>
    <t>US</t>
  </si>
  <si>
    <t xml:space="preserve">Partie Raspberry</t>
  </si>
  <si>
    <t xml:space="preserve">Structure général</t>
  </si>
  <si>
    <t>1.1</t>
  </si>
  <si>
    <t xml:space="preserve">Les moteurs sont contrôlés par la Raspberry, via les actions sur l'application</t>
  </si>
  <si>
    <t>1.2</t>
  </si>
  <si>
    <t xml:space="preserve">Il y a un total de 9 places, dont la 5 qui est pour le lecteur cd</t>
  </si>
  <si>
    <t>1.3</t>
  </si>
  <si>
    <t xml:space="preserve">Le code doit gérer les états des cd, pour par exemple remettre le cd en cours à sa place, si un nouveau est choisit</t>
  </si>
  <si>
    <t>1.4</t>
  </si>
  <si>
    <t xml:space="preserve">Interrupteur général pour tout éteindre</t>
  </si>
  <si>
    <t>1.5</t>
  </si>
  <si>
    <t xml:space="preserve">Créer la structure général, trouver les matériaux adaptés</t>
  </si>
  <si>
    <t>1.6</t>
  </si>
  <si>
    <t xml:space="preserve">Avant tout, être sur du fonctionnement, moteurs pas à pas, nacelle…</t>
  </si>
  <si>
    <t xml:space="preserve">Accès application</t>
  </si>
  <si>
    <t>2.1</t>
  </si>
  <si>
    <t xml:space="preserve">Raspberry en mode AP : on s'y connect en wifi et on peut accéder à l'appli pour gérer la jukebox</t>
  </si>
  <si>
    <t xml:space="preserve">Déplacement en Y</t>
  </si>
  <si>
    <t>3.1</t>
  </si>
  <si>
    <t xml:space="preserve">2 moteurs pas à pas avec des tiges filetées</t>
  </si>
  <si>
    <t xml:space="preserve">Les 2 moteurs chauffent, aller à l'école pour réglage potentiomètre : https://lebearcnc.com/reglage-des-drivers-pour-moteurs-pas-pas-pololu-a4988-drv8825-drv8824-et-drv4834/</t>
  </si>
  <si>
    <t>3.2</t>
  </si>
  <si>
    <t xml:space="preserve">Il faut donc une genre de nacelle qui relire les 2 tige filetées, qui va monter/descendre en fonction des moteurs</t>
  </si>
  <si>
    <t>3.3</t>
  </si>
  <si>
    <t xml:space="preserve">Il faut donc aussi trouver le bon rapport entre la vitesse du moteur, et les pas de la tige filetée pour ne pas être trop lent, mais quand même précis</t>
  </si>
  <si>
    <t>3.4</t>
  </si>
  <si>
    <t xml:space="preserve">Et faire en sorte que la nacelle ne soit pas trop lourde pour les moteurs</t>
  </si>
  <si>
    <t>3.5</t>
  </si>
  <si>
    <t xml:space="preserve">Il y a un roulement à bille en haut pour sabiliser les tiges filetées et les tenir bien droite</t>
  </si>
  <si>
    <t xml:space="preserve">Déplacement en X</t>
  </si>
  <si>
    <t>4.1</t>
  </si>
  <si>
    <t xml:space="preserve">1 moteur pas à pas pour déplacement électroaimant en X, via une tige filetée</t>
  </si>
  <si>
    <t>4.2</t>
  </si>
  <si>
    <t xml:space="preserve">Le moteur est sur la nacelle, et à une deuxième nacelle sur sa tige filetée, qui se déplace de droite à gauche en fonction du moteur</t>
  </si>
  <si>
    <t>4.3</t>
  </si>
  <si>
    <t xml:space="preserve">Pareil, trouver un bon rapport entre vitesse et pas de la tige filetée, mais ça sera surement le même</t>
  </si>
  <si>
    <t>4.4</t>
  </si>
  <si>
    <t xml:space="preserve">Pareil, roulement à bille au bout</t>
  </si>
  <si>
    <t xml:space="preserve">Déplacement en Z</t>
  </si>
  <si>
    <t>5.1</t>
  </si>
  <si>
    <t xml:space="preserve">Sur la nacelle : 1 servo moteur pour déplacement électroaimant en Z</t>
  </si>
  <si>
    <t>5.2</t>
  </si>
  <si>
    <t xml:space="preserve">Besoin de quelques pièces 3D pour le mouvement</t>
  </si>
  <si>
    <t>https://www.youtube.com/watch?v=2vAoOYF3m8U</t>
  </si>
  <si>
    <t>5.3</t>
  </si>
  <si>
    <t xml:space="preserve">L'électroaimant doit être au bout, afin de se rapprocher/éloigner des cd</t>
  </si>
  <si>
    <t>5.4</t>
  </si>
  <si>
    <t xml:space="preserve">Prévoir un fil suffisament long pour le contrôle de l'électroaimant</t>
  </si>
  <si>
    <t>Electroaimant</t>
  </si>
  <si>
    <t>6.1</t>
  </si>
  <si>
    <t xml:space="preserve">Il permet donc de prendre les cd et de les placer sur leur socle ou sur le lecteur cd</t>
  </si>
  <si>
    <t>6.2</t>
  </si>
  <si>
    <t xml:space="preserve">Mettre un aimant sur le cd, en forme de rond autour du trou</t>
  </si>
  <si>
    <t>6.3</t>
  </si>
  <si>
    <t xml:space="preserve">Mettre un aimant sur le socle du cd, pour qu'il soit un minimum tenu</t>
  </si>
  <si>
    <t>6.4</t>
  </si>
  <si>
    <t xml:space="preserve">Mettre un aimant puissant sur le lecteur pour tenir le cd</t>
  </si>
  <si>
    <t>6.5</t>
  </si>
  <si>
    <t xml:space="preserve">3 niveaux de puissance des aimants : Electroaimant&gt;lecteur&gt;socle</t>
  </si>
  <si>
    <t xml:space="preserve">Socle cd</t>
  </si>
  <si>
    <t>7.1</t>
  </si>
  <si>
    <t xml:space="preserve">Pièces imprimée en 3D je pense, qui se colle sur la plaque. Ils ont un aimant afin de maintenir un minimum le cd</t>
  </si>
  <si>
    <t xml:space="preserve">Interrupteur fin de course</t>
  </si>
  <si>
    <t>8.1</t>
  </si>
  <si>
    <t xml:space="preserve">Afin de détecter quand la nacelle arrive à une extrémité (haut,bas,droite,gauche)</t>
  </si>
  <si>
    <t>9.1</t>
  </si>
  <si>
    <t xml:space="preserve">Trouver un lecteur cd</t>
  </si>
  <si>
    <t>9.2</t>
  </si>
  <si>
    <t xml:space="preserve">Réussir à récupérer le son, en utilisant un système le plus simple possibe</t>
  </si>
  <si>
    <t>9.3</t>
  </si>
  <si>
    <t xml:space="preserve">Ex : Récupérer un lecteur entier, et le mettre sur le mur, même si je dois appuyer sur play pour l'instant</t>
  </si>
  <si>
    <t xml:space="preserve">Sortie du son</t>
  </si>
  <si>
    <t>10.1</t>
  </si>
  <si>
    <t xml:space="preserve">Le son sort d'un cable jack, ce qui permet de brancher sur des enceintes, casque… </t>
  </si>
  <si>
    <t>10.2</t>
  </si>
  <si>
    <t xml:space="preserve">Pourquoi pas module bluetooth par la suite</t>
  </si>
  <si>
    <t xml:space="preserve">Calibration des moteurs pas à pas</t>
  </si>
  <si>
    <t>11.1</t>
  </si>
  <si>
    <t xml:space="preserve">Au démarrage, faire en sorte que la nacelle va tout en bas à gauche, puis tout en haut a droite</t>
  </si>
  <si>
    <t>11.2</t>
  </si>
  <si>
    <t xml:space="preserve">Comme ça on récupère le nombre de pas pour faire la hauteur et la largeur, et on calcul la position des cd grâce à ça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</si>
</sst>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1.000000"/>
      <color theme="1"/>
      <name val="Calibri"/>
      <scheme val="minor"/>
    </font>
    <font>
      <sz val="16.000000"/>
      <color theme="1"/>
      <name val="Calibri"/>
      <scheme val="minor"/>
    </font>
    <font>
      <b/>
      <sz val="12.000000"/>
      <color theme="0"/>
      <name val="Calibri"/>
      <scheme val="minor"/>
    </font>
    <font>
      <b/>
      <sz val="12.000000"/>
      <color theme="1"/>
      <name val="Calibri"/>
      <scheme val="minor"/>
    </font>
    <font>
      <b/>
      <sz val="48.000000"/>
      <name val="Calibri"/>
      <scheme val="minor"/>
    </font>
    <font>
      <color theme="1"/>
    </font>
    <font>
      <b/>
      <sz val="11.000000"/>
      <name val="Calibri"/>
      <scheme val="minor"/>
    </font>
    <font>
      <b/>
      <sz val="12.000000"/>
      <name val="Calibri"/>
      <scheme val="minor"/>
    </font>
    <font>
      <sz val="10.000000"/>
      <color rgb="FF0D0D0D"/>
      <name val="Segoe UI"/>
    </font>
    <font>
      <sz val="10.000000"/>
      <color theme="1"/>
      <name val="Arial Unicode MS"/>
    </font>
    <font>
      <b/>
      <sz val="11.000000"/>
      <color theme="0"/>
      <name val="Calibri"/>
      <scheme val="minor"/>
    </font>
    <font>
      <sz val="11.000000"/>
      <name val="Calibri"/>
    </font>
    <font>
      <sz val="11.000000"/>
      <name val="Calibri"/>
      <scheme val="minor"/>
    </font>
    <font>
      <u/>
      <sz val="11.000000"/>
      <color theme="1"/>
      <name val="Calibri"/>
      <scheme val="minor"/>
    </font>
  </fonts>
  <fills count="18">
    <fill>
      <patternFill patternType="none"/>
    </fill>
    <fill>
      <patternFill patternType="gray125"/>
    </fill>
    <fill>
      <patternFill patternType="none"/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92D050"/>
        <bgColor rgb="FF92D05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0" tint="-0.14999847407452621"/>
      </patternFill>
    </fill>
  </fills>
  <borders count="18">
    <border>
      <left style="none"/>
      <right style="none"/>
      <top style="none"/>
      <bottom style="none"/>
      <diagonal style="none"/>
    </border>
    <border>
      <left style="thin">
        <color theme="8" tint="0.39997558519241921"/>
      </left>
      <right style="none"/>
      <top style="none"/>
      <bottom style="none"/>
      <diagonal style="none"/>
    </border>
    <border>
      <left style="thin">
        <color theme="9" tint="0.39997558519241921"/>
      </left>
      <right style="none"/>
      <top style="none"/>
      <bottom style="none"/>
      <diagonal style="none"/>
    </border>
    <border>
      <left style="none"/>
      <right style="none"/>
      <top style="thin">
        <color theme="6" tint="0.39997558519241921"/>
      </top>
      <bottom style="thin">
        <color theme="6" tint="0.39997558519241921"/>
      </bottom>
      <diagonal style="none"/>
    </border>
    <border>
      <left style="thin">
        <color theme="8" tint="0.39997558519241921"/>
      </left>
      <right style="thin">
        <color theme="6" tint="0.39997558519241921"/>
      </right>
      <top style="none"/>
      <bottom style="none"/>
      <diagonal style="none"/>
    </border>
    <border>
      <left style="thin">
        <color theme="6" tint="0.39997558519241921"/>
      </left>
      <right style="none"/>
      <top style="thin">
        <color theme="6" tint="0.39997558519241921"/>
      </top>
      <bottom style="thin">
        <color theme="6" tint="0.39997558519241921"/>
      </bottom>
      <diagonal style="none"/>
    </border>
    <border>
      <left style="none"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91">
    <xf fontId="0" fillId="0" borderId="0" numFmtId="0" xfId="0"/>
    <xf fontId="0" fillId="0" borderId="0" numFmtId="0" xfId="0">
      <protection hidden="0" locked="1"/>
    </xf>
    <xf fontId="1" fillId="0" borderId="0" numFmtId="0" xfId="0" applyFont="1"/>
    <xf fontId="2" fillId="0" borderId="0" numFmtId="0" xfId="0" applyFont="1"/>
    <xf fontId="0" fillId="0" borderId="0" numFmtId="0" xfId="0"/>
    <xf fontId="3" fillId="0" borderId="0" numFmtId="0" xfId="0" applyFont="1"/>
    <xf fontId="4" fillId="0" borderId="0" numFmtId="0" xfId="0" applyFont="1"/>
    <xf fontId="0" fillId="3" borderId="0" numFmtId="0" xfId="0" applyFill="1"/>
    <xf fontId="0" fillId="0" borderId="1" numFmtId="0" xfId="0" applyBorder="1">
      <protection hidden="0" locked="1"/>
    </xf>
    <xf fontId="0" fillId="4" borderId="0" numFmtId="0" xfId="0" applyFill="1"/>
    <xf fontId="0" fillId="5" borderId="0" numFmtId="0" xfId="0" applyFill="1"/>
    <xf fontId="5" fillId="6" borderId="0" numFmtId="0" xfId="0" applyFont="1" applyFill="1"/>
    <xf fontId="6" fillId="7" borderId="0" numFmtId="0" xfId="0" applyFont="1" applyFill="1"/>
    <xf fontId="0" fillId="7" borderId="0" numFmtId="0" xfId="0" applyFill="1"/>
    <xf fontId="7" fillId="7" borderId="0" numFmtId="10" xfId="1" applyNumberFormat="1" applyFont="1" applyFill="1" applyAlignment="1">
      <alignment wrapText="1"/>
    </xf>
    <xf fontId="0" fillId="8" borderId="0" numFmtId="0" xfId="0" applyFill="1"/>
    <xf fontId="0" fillId="9" borderId="0" numFmtId="0" xfId="0" applyFill="1"/>
    <xf fontId="6" fillId="10" borderId="0" numFmtId="0" xfId="0" applyFont="1" applyFill="1"/>
    <xf fontId="0" fillId="10" borderId="0" numFmtId="0" xfId="0" applyFill="1"/>
    <xf fontId="0" fillId="11" borderId="0" numFmtId="0" xfId="0" applyFill="1"/>
    <xf fontId="0" fillId="0" borderId="2" numFmtId="0" xfId="0" applyBorder="1">
      <protection hidden="0" locked="1"/>
    </xf>
    <xf fontId="1" fillId="12" borderId="0" numFmtId="0" xfId="0" applyFont="1" applyFill="1"/>
    <xf fontId="1" fillId="13" borderId="0" numFmtId="0" xfId="0" applyFont="1" applyFill="1"/>
    <xf fontId="0" fillId="14" borderId="0" numFmtId="0" xfId="0" applyFill="1"/>
    <xf fontId="0" fillId="12" borderId="0" numFmtId="10" xfId="1" applyNumberFormat="1" applyFill="1" applyAlignment="1">
      <alignment wrapText="1"/>
    </xf>
    <xf fontId="0" fillId="0" borderId="0" numFmtId="0" xfId="0" applyAlignment="1">
      <alignment vertical="center"/>
    </xf>
    <xf fontId="0" fillId="0" borderId="0" numFmtId="0" xfId="0" applyAlignment="1">
      <alignment wrapText="1"/>
    </xf>
    <xf fontId="0" fillId="15" borderId="0" numFmtId="0" xfId="0" applyFill="1"/>
    <xf fontId="0" fillId="12" borderId="0" numFmtId="10" xfId="1" applyNumberFormat="1" applyFill="1"/>
    <xf fontId="0" fillId="8" borderId="0" numFmtId="0" xfId="0" applyFill="1" applyAlignment="1">
      <alignment vertical="center"/>
    </xf>
    <xf fontId="0" fillId="10" borderId="0" numFmtId="0" xfId="0" applyFill="1" applyAlignment="1">
      <alignment wrapText="1"/>
    </xf>
    <xf fontId="0" fillId="0" borderId="0" numFmtId="0" xfId="0" applyAlignment="1">
      <alignment wrapText="1"/>
      <protection hidden="0" locked="1"/>
    </xf>
    <xf fontId="0" fillId="0" borderId="0" numFmtId="10" xfId="1" applyNumberFormat="1"/>
    <xf fontId="0" fillId="16" borderId="0" numFmtId="0" xfId="0" applyFill="1"/>
    <xf fontId="0" fillId="0" borderId="0" numFmtId="0" xfId="0" applyAlignment="1">
      <alignment wrapText="1"/>
    </xf>
    <xf fontId="0" fillId="0" borderId="3" numFmtId="0" xfId="0" applyBorder="1">
      <protection hidden="0" locked="1"/>
    </xf>
    <xf fontId="1" fillId="8" borderId="0" numFmtId="0" xfId="0" applyFont="1" applyFill="1"/>
    <xf fontId="0" fillId="0" borderId="4" numFmtId="0" xfId="0" applyBorder="1">
      <protection hidden="0" locked="1"/>
    </xf>
    <xf fontId="8" fillId="0" borderId="5" numFmtId="0" xfId="0" applyFont="1" applyBorder="1"/>
    <xf fontId="8" fillId="0" borderId="6" numFmtId="0" xfId="0" applyFont="1" applyBorder="1"/>
    <xf fontId="9" fillId="7" borderId="0" numFmtId="10" xfId="1" applyNumberFormat="1" applyFont="1" applyFill="1" applyAlignment="1">
      <alignment wrapText="1"/>
    </xf>
    <xf fontId="10" fillId="7" borderId="0" numFmtId="0" xfId="0" applyFont="1" applyFill="1"/>
    <xf fontId="0" fillId="17" borderId="7" numFmtId="0" xfId="0" applyFill="1" applyBorder="1"/>
    <xf fontId="0" fillId="17" borderId="8" numFmtId="0" xfId="0" applyFill="1" applyBorder="1"/>
    <xf fontId="0" fillId="0" borderId="9" numFmtId="0" xfId="0" applyBorder="1"/>
    <xf fontId="0" fillId="0" borderId="10" numFmtId="0" xfId="0" applyBorder="1"/>
    <xf fontId="0" fillId="17" borderId="11" numFmtId="0" xfId="0" applyFill="1" applyBorder="1"/>
    <xf fontId="0" fillId="17" borderId="12" numFmtId="0" xfId="0" applyFill="1" applyBorder="1"/>
    <xf fontId="0" fillId="0" borderId="13" numFmtId="0" xfId="0" applyBorder="1"/>
    <xf fontId="11" fillId="0" borderId="14" numFmtId="0" xfId="0" applyFont="1" applyBorder="1" applyAlignment="1">
      <alignment horizontal="left" indent="1" vertical="center"/>
    </xf>
    <xf fontId="0" fillId="0" borderId="15" numFmtId="0" xfId="0" applyBorder="1"/>
    <xf fontId="11" fillId="0" borderId="16" numFmtId="0" xfId="0" applyFont="1" applyBorder="1" applyAlignment="1">
      <alignment horizontal="left" indent="1" vertical="center"/>
    </xf>
    <xf fontId="3" fillId="0" borderId="0" numFmtId="0" xfId="0" applyFont="1" applyAlignment="1">
      <alignment horizontal="left" indent="1" vertical="center"/>
    </xf>
    <xf fontId="12" fillId="0" borderId="0" numFmtId="0" xfId="0" applyFont="1" applyAlignment="1">
      <alignment vertical="center"/>
    </xf>
    <xf fontId="11" fillId="0" borderId="10" numFmtId="0" xfId="0" applyFont="1" applyBorder="1" applyAlignment="1">
      <alignment horizontal="left" indent="1" vertical="center"/>
    </xf>
    <xf fontId="11" fillId="17" borderId="12" numFmtId="0" xfId="0" applyFont="1" applyFill="1" applyBorder="1" applyAlignment="1">
      <alignment horizontal="left" vertical="center"/>
    </xf>
    <xf fontId="0" fillId="0" borderId="11" numFmtId="0" xfId="0" applyBorder="1"/>
    <xf fontId="11" fillId="0" borderId="12" numFmtId="0" xfId="0" applyFont="1" applyBorder="1" applyAlignment="1">
      <alignment horizontal="left" indent="1" vertical="center"/>
    </xf>
    <xf fontId="0" fillId="17" borderId="13" numFmtId="0" xfId="0" applyFill="1" applyBorder="1"/>
    <xf fontId="0" fillId="17" borderId="14" numFmtId="0" xfId="0" applyFill="1" applyBorder="1"/>
    <xf fontId="0" fillId="17" borderId="15" numFmtId="0" xfId="0" applyFill="1" applyBorder="1"/>
    <xf fontId="0" fillId="17" borderId="16" numFmtId="0" xfId="0" applyFill="1" applyBorder="1"/>
    <xf fontId="0" fillId="0" borderId="0" numFmtId="0" xfId="0" applyAlignment="1">
      <alignment horizontal="left" indent="1" vertical="center"/>
    </xf>
    <xf fontId="0" fillId="17" borderId="10" numFmtId="0" xfId="0" applyFill="1" applyBorder="1"/>
    <xf fontId="0" fillId="0" borderId="17" numFmtId="0" xfId="0" applyBorder="1"/>
    <xf fontId="13" fillId="4" borderId="5" numFmtId="0" xfId="0" applyFont="1" applyFill="1" applyBorder="1"/>
    <xf fontId="0" fillId="10" borderId="5" numFmtId="0" xfId="0" applyFill="1" applyBorder="1"/>
    <xf fontId="0" fillId="0" borderId="0" numFmtId="0" xfId="0" applyAlignment="1">
      <alignment horizontal="left"/>
    </xf>
    <xf fontId="0" fillId="0" borderId="5" numFmtId="0" xfId="0" applyBorder="1"/>
    <xf fontId="0" fillId="0" borderId="0" numFmtId="0" xfId="0" applyAlignment="1">
      <alignment horizontal="left" indent="1"/>
    </xf>
    <xf fontId="0" fillId="0" borderId="0" numFmtId="0" xfId="0" applyAlignment="1">
      <alignment horizontal="left" indent="2"/>
    </xf>
    <xf fontId="13" fillId="4" borderId="3" numFmtId="0" xfId="0" applyFont="1" applyFill="1" applyBorder="1"/>
    <xf fontId="0" fillId="0" borderId="3" numFmtId="0" xfId="0" applyBorder="1"/>
    <xf fontId="0" fillId="10" borderId="3" numFmtId="0" xfId="0" applyFill="1" applyBorder="1"/>
    <xf fontId="0" fillId="0" borderId="0" numFmtId="0" xfId="0" applyAlignment="1">
      <alignment horizontal="center" vertical="center"/>
    </xf>
    <xf fontId="0" fillId="0" borderId="0" numFmtId="0" xfId="0" applyAlignment="1">
      <alignment horizontal="left" indent="2" wrapText="1"/>
    </xf>
    <xf fontId="14" fillId="0" borderId="0" numFmtId="0" xfId="0" applyFont="1" applyAlignment="1">
      <alignment horizontal="left" indent="2"/>
    </xf>
    <xf fontId="15" fillId="0" borderId="0" numFmtId="0" xfId="0" applyFont="1" applyAlignment="1">
      <alignment horizontal="left" indent="2"/>
    </xf>
    <xf fontId="0" fillId="0" borderId="0" numFmtId="0" xfId="0" applyAlignment="1">
      <alignment horizontal="left" wrapText="1"/>
    </xf>
    <xf fontId="13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3" fillId="0" borderId="0" numFmtId="0" xfId="0" applyFont="1" applyAlignment="1">
      <alignment horizontal="left" vertical="center"/>
    </xf>
    <xf fontId="0" fillId="0" borderId="0" numFmtId="0" xfId="0" applyAlignment="1">
      <alignment horizontal="center" vertical="center" wrapText="1"/>
    </xf>
    <xf fontId="16" fillId="0" borderId="0" numFmtId="0" xfId="0" applyFont="1"/>
    <xf fontId="3" fillId="0" borderId="0" numFmtId="0" xfId="0" applyFont="1" applyAlignment="1">
      <alignment horizontal="left" vertical="center" wrapText="1"/>
    </xf>
    <xf fontId="3" fillId="0" borderId="0" numFmtId="0" xfId="0" applyFont="1" applyAlignment="1">
      <alignment wrapText="1"/>
    </xf>
    <xf fontId="0" fillId="0" borderId="0" numFmtId="0" xfId="0" applyAlignment="1">
      <alignment horizontal="left" vertical="center"/>
    </xf>
    <xf fontId="0" fillId="0" borderId="0" numFmtId="0" xfId="0" applyAlignment="1">
      <alignment horizontal="left" indent="4"/>
    </xf>
    <xf fontId="3" fillId="0" borderId="0" numFmtId="0" xfId="0" applyFont="1" applyAlignment="1">
      <alignment horizontal="left"/>
    </xf>
    <xf fontId="0" fillId="0" borderId="0" numFmtId="0" xfId="0" applyAlignment="1">
      <alignment horizontal="center" wrapText="1"/>
    </xf>
    <xf fontId="0" fillId="0" borderId="0" numFmtId="0" xfId="0" applyAlignment="1">
      <alignment horizontal="left" indent="4" wrapText="1"/>
    </xf>
  </cellXfs>
  <cellStyles count="2">
    <cellStyle name="Normal" xfId="0" builtinId="0"/>
    <cellStyle name="Percent" xfId="1" builtinId="5"/>
  </cellStyles>
  <dxfs count="2">
    <dxf>
      <alignment horizontal="left" indent="2" readingOrder="0" relativeIndent="0" shrinkToFit="0" textRotation="0" vertical="bottom" wrapText="0"/>
    </dxf>
    <dxf>
      <alignment horizontal="left" indent="2" readingOrder="0" relativeIndent="0" shrinkToFit="0" textRotation="0" vertical="bottom"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O12:U29">
  <autoFilter ref="O12:U29"/>
  <tableColumns count="7">
    <tableColumn id="1" name="Status"/>
    <tableColumn id="2" name="Pièce globale"/>
    <tableColumn id="3" name="Pièce 3D"/>
    <tableColumn id="4" name="Précision"/>
    <tableColumn id="5" name="Dimensions2"/>
    <tableColumn id="6" name="Colonne5"/>
    <tableColumn id="7" name="Colonne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au4" ref="F12:G24">
  <autoFilter ref="F12:G24"/>
  <tableColumns count="2">
    <tableColumn id="1" name="Etapes"/>
    <tableColumn id="2" name="Statu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au5" ref="I12:J22">
  <autoFilter ref="I12:J22"/>
  <tableColumns count="2">
    <tableColumn id="1" name="Pièce"/>
    <tableColumn id="2" name="Statu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au8" ref="L12:M34">
  <autoFilter ref="L12:M34"/>
  <tableColumns count="2">
    <tableColumn id="1" name="Etapes"/>
    <tableColumn id="2" name="Status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au6" ref="B9:D61">
  <autoFilter ref="B9:D61"/>
  <tableColumns count="3">
    <tableColumn id="1" name="Tâches"/>
    <tableColumn id="2" name="Détail"/>
    <tableColumn id="3" name="Avancé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ableau7" ref="E5:K28">
  <autoFilter ref="E5:K28"/>
  <tableColumns count="7">
    <tableColumn id="1" name="GoToOrigin"/>
    <tableColumn id="2" name="Wait"/>
    <tableColumn id="3" name="NewAction"/>
    <tableColumn id="4" name="GoToPos"/>
    <tableColumn id="5" name="Play"/>
    <tableColumn id="6" name="Pause"/>
    <tableColumn id="7" name="Stop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Tableau9" ref="A5:B16">
  <autoFilter ref="A5:B16"/>
  <tableColumns count="2">
    <tableColumn id="1" name="Variables"/>
    <tableColumn id="2" name="Exploc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Tableau2" ref="D4:E30">
  <autoFilter ref="D4:E30"/>
  <tableColumns count="2">
    <tableColumn id="1" name="Partie App" dataDxfId="0"/>
    <tableColumn id="2" name="Priorité" dataDxfId="1"/>
  </tableColumns>
  <tableStyleInfo name="TableStyleMedium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Tableau3" ref="C39:F88">
  <autoFilter ref="C39:F88"/>
  <tableColumns count="4">
    <tableColumn id="1" name="US"/>
    <tableColumn id="2" name="Partie Raspberry"/>
    <tableColumn id="3" name="Priorité"/>
    <tableColumn id="4" name="Colonne1"/>
  </tableColumns>
  <tableStyleInfo name="TableStyleMedium20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Relationship  Id="rId3" Type="http://schemas.openxmlformats.org/officeDocument/2006/relationships/table" Target="../tables/table3.xml"/><Relationship  Id="rId4" Type="http://schemas.openxmlformats.org/officeDocument/2006/relationships/table" Target="../tables/table4.xml"/><Relationship 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6.xml"/><Relationship  Id="rId2" Type="http://schemas.openxmlformats.org/officeDocument/2006/relationships/table" Target="../tables/table7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8.xml"/><Relationship  Id="rId2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" zoomScale="100" workbookViewId="0">
      <selection activeCell="A1" activeCellId="0" sqref="A1"/>
    </sheetView>
  </sheetViews>
  <sheetFormatPr defaultRowHeight="14.25"/>
  <cols>
    <col customWidth="1" min="1" max="1" width="9.140625"/>
    <col customWidth="1" min="2" max="2" width="63.7109375"/>
    <col customWidth="1" min="3" max="3" width="63.421875"/>
    <col bestFit="1" customWidth="1" min="4" max="4" width="42.09375"/>
    <col customWidth="1" min="5" max="5" width="60.00390625"/>
    <col bestFit="1" customWidth="1" min="6" max="6" width="40.171875"/>
    <col customWidth="1" min="7" max="7" width="26.421875"/>
    <col bestFit="1" customWidth="1" min="8" max="8" width="41.09375"/>
    <col bestFit="1" customWidth="1" min="9" max="9" width="38.23046875"/>
    <col customWidth="1" min="10" max="10" width="9.140625"/>
    <col bestFit="1" customWidth="1" min="11" max="11" width="20.90234375"/>
    <col bestFit="1" min="12" max="12" width="24.7109375"/>
    <col bestFit="1" min="13" max="13" width="39.57421875"/>
    <col bestFit="1" min="14" max="14" width="42.8125"/>
    <col bestFit="1" min="15" max="15" width="32.7109375"/>
    <col bestFit="1" min="16" max="17" width="14.23046875"/>
  </cols>
  <sheetData>
    <row r="1" ht="14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4.25">
      <c r="A2" s="1"/>
      <c r="B2" s="1"/>
      <c r="C2" s="1"/>
      <c r="D2" s="1"/>
      <c r="E2" s="1"/>
      <c r="F2" s="1"/>
      <c r="G2" s="1"/>
      <c r="J2" s="1"/>
      <c r="K2" s="1"/>
    </row>
    <row r="3" ht="18.75">
      <c r="A3" s="1"/>
      <c r="B3" s="2" t="s">
        <v>0</v>
      </c>
      <c r="C3" s="1"/>
      <c r="D3" s="1"/>
      <c r="E3" s="3"/>
      <c r="F3" s="1"/>
      <c r="G3" s="1"/>
    </row>
    <row r="4" ht="18.75">
      <c r="A4" s="1"/>
      <c r="B4" s="4" t="s">
        <v>1</v>
      </c>
      <c r="C4" s="1"/>
      <c r="D4" s="1"/>
      <c r="E4" s="3"/>
      <c r="F4" s="1"/>
      <c r="G4" s="1"/>
    </row>
    <row r="5" ht="14">
      <c r="A5" s="1"/>
      <c r="B5" s="1"/>
      <c r="C5" s="1"/>
      <c r="D5" s="1"/>
      <c r="E5" s="1"/>
      <c r="F5" s="1"/>
      <c r="G5" s="1"/>
    </row>
    <row r="6" ht="14.25">
      <c r="A6" s="1"/>
      <c r="B6" s="1"/>
      <c r="C6" s="1"/>
      <c r="D6" s="1"/>
      <c r="E6" s="1"/>
      <c r="F6" s="1"/>
      <c r="G6" s="1"/>
    </row>
    <row r="7" ht="18.75">
      <c r="A7" s="1"/>
      <c r="B7" s="1"/>
      <c r="C7" s="1"/>
      <c r="D7" s="3" t="s">
        <v>2</v>
      </c>
      <c r="E7" s="1"/>
      <c r="F7" s="1"/>
      <c r="G7" s="1"/>
      <c r="V7" s="1"/>
      <c r="W7" s="1"/>
      <c r="X7" s="5"/>
    </row>
    <row r="8" ht="14.25">
      <c r="A8" s="1"/>
      <c r="B8" s="1"/>
      <c r="C8" s="1"/>
      <c r="D8" s="1"/>
      <c r="E8" s="1"/>
      <c r="F8" s="1"/>
      <c r="G8" s="1"/>
      <c r="V8" s="1"/>
      <c r="W8" s="1"/>
    </row>
    <row r="9" ht="21">
      <c r="A9" s="1"/>
      <c r="B9" t="s">
        <v>3</v>
      </c>
      <c r="C9" t="s">
        <v>4</v>
      </c>
      <c r="D9" s="4" t="s">
        <v>5</v>
      </c>
      <c r="F9" s="6" t="s">
        <v>6</v>
      </c>
      <c r="G9" s="1"/>
      <c r="H9" s="1"/>
      <c r="I9" s="6" t="s">
        <v>7</v>
      </c>
      <c r="J9" s="1"/>
      <c r="K9" s="1"/>
      <c r="L9" s="6" t="s">
        <v>8</v>
      </c>
      <c r="O9" s="6" t="s">
        <v>9</v>
      </c>
      <c r="P9" s="1"/>
      <c r="Q9" s="1"/>
      <c r="Z9" s="1"/>
      <c r="AA9" s="1"/>
    </row>
    <row r="10" ht="16.5">
      <c r="A10" s="1"/>
      <c r="B10" t="s">
        <v>10</v>
      </c>
      <c r="F10" s="1"/>
      <c r="G10" s="1"/>
      <c r="H10" s="1"/>
      <c r="I10" s="1"/>
      <c r="J10" s="1"/>
      <c r="K10" s="1"/>
      <c r="M10" s="1"/>
      <c r="N10" s="1"/>
      <c r="O10" s="2"/>
      <c r="P10" s="2"/>
      <c r="Q10" s="2"/>
      <c r="R10" s="2"/>
      <c r="S10" s="2"/>
      <c r="T10" s="2"/>
      <c r="U10" s="2"/>
      <c r="Z10" s="1"/>
      <c r="AA10" s="1"/>
    </row>
    <row r="11" ht="16.5">
      <c r="A11" s="1"/>
      <c r="B11" s="4" t="s">
        <v>11</v>
      </c>
      <c r="F11" s="1"/>
      <c r="G11" s="1"/>
      <c r="H11" s="1"/>
      <c r="I11" s="1"/>
      <c r="J11" s="1"/>
      <c r="K11" s="1"/>
      <c r="M11" s="1"/>
      <c r="N11" s="1"/>
      <c r="O11" s="2"/>
      <c r="P11" s="2"/>
      <c r="Q11" s="2"/>
      <c r="R11" s="2"/>
      <c r="S11" s="2"/>
      <c r="T11" s="2"/>
      <c r="U11" s="2"/>
      <c r="X11" s="4"/>
      <c r="Z11" s="1"/>
      <c r="AA11" s="1"/>
    </row>
    <row r="12" ht="16.5">
      <c r="A12" s="1"/>
      <c r="B12" s="4"/>
      <c r="F12" s="2" t="s">
        <v>12</v>
      </c>
      <c r="G12" s="7" t="s">
        <v>13</v>
      </c>
      <c r="H12" s="8"/>
      <c r="I12" s="1" t="s">
        <v>14</v>
      </c>
      <c r="J12" s="9" t="s">
        <v>13</v>
      </c>
      <c r="K12" s="1"/>
      <c r="L12" s="1" t="s">
        <v>12</v>
      </c>
      <c r="M12" s="10" t="s">
        <v>13</v>
      </c>
      <c r="N12" s="1"/>
      <c r="O12" s="2" t="s">
        <v>13</v>
      </c>
      <c r="P12" s="11" t="s">
        <v>15</v>
      </c>
      <c r="Q12" s="11" t="s">
        <v>16</v>
      </c>
      <c r="R12" s="11" t="s">
        <v>17</v>
      </c>
      <c r="S12" s="11" t="s">
        <v>18</v>
      </c>
      <c r="T12" s="11" t="s">
        <v>19</v>
      </c>
      <c r="U12" s="11" t="s">
        <v>20</v>
      </c>
      <c r="Z12" s="1"/>
      <c r="AA12" s="1"/>
    </row>
    <row r="13" ht="60">
      <c r="A13" s="1"/>
      <c r="B13" s="12" t="s">
        <v>21</v>
      </c>
      <c r="C13" s="13"/>
      <c r="D13" s="14">
        <f>SUM(D14:D21)/8</f>
        <v>0.80625000000000002</v>
      </c>
      <c r="F13" s="15" t="s">
        <v>22</v>
      </c>
      <c r="G13" s="16" t="s">
        <v>23</v>
      </c>
      <c r="H13" s="1"/>
      <c r="I13" s="17" t="s">
        <v>24</v>
      </c>
      <c r="J13" s="18"/>
      <c r="K13" s="1"/>
      <c r="L13" s="19" t="s">
        <v>25</v>
      </c>
      <c r="M13" s="16" t="s">
        <v>23</v>
      </c>
      <c r="N13" s="20"/>
      <c r="O13" s="21" t="s">
        <v>26</v>
      </c>
      <c r="P13" s="22" t="s">
        <v>27</v>
      </c>
      <c r="Q13" s="22" t="s">
        <v>28</v>
      </c>
      <c r="R13" s="22"/>
      <c r="S13" s="22"/>
      <c r="T13" s="22"/>
      <c r="U13" s="22"/>
      <c r="Z13" s="1"/>
      <c r="AA13" s="1"/>
    </row>
    <row r="14" ht="16.5">
      <c r="A14" s="1"/>
      <c r="B14" s="23" t="s">
        <v>29</v>
      </c>
      <c r="C14" s="23"/>
      <c r="D14" s="24">
        <v>1</v>
      </c>
      <c r="F14" t="s">
        <v>30</v>
      </c>
      <c r="G14" s="16" t="s">
        <v>23</v>
      </c>
      <c r="H14" s="1"/>
      <c r="I14" t="s">
        <v>31</v>
      </c>
      <c r="J14" s="16" t="s">
        <v>23</v>
      </c>
      <c r="K14" s="1"/>
      <c r="L14" t="s">
        <v>32</v>
      </c>
      <c r="M14" s="16" t="s">
        <v>23</v>
      </c>
      <c r="N14" s="1"/>
      <c r="O14" s="2"/>
      <c r="P14" s="2"/>
      <c r="Q14" s="2"/>
      <c r="R14" s="2" t="s">
        <v>33</v>
      </c>
      <c r="S14" s="2" t="s">
        <v>34</v>
      </c>
      <c r="T14" s="2"/>
      <c r="U14" s="2"/>
      <c r="Z14" s="1"/>
      <c r="AA14" s="1"/>
    </row>
    <row r="15" ht="57">
      <c r="A15" s="1"/>
      <c r="B15" s="25" t="s">
        <v>35</v>
      </c>
      <c r="C15" s="26" t="s">
        <v>36</v>
      </c>
      <c r="D15" s="24">
        <v>1</v>
      </c>
      <c r="F15" s="15" t="s">
        <v>37</v>
      </c>
      <c r="G15" s="16" t="s">
        <v>23</v>
      </c>
      <c r="H15" s="1"/>
      <c r="I15" s="18" t="s">
        <v>38</v>
      </c>
      <c r="J15" s="27" t="s">
        <v>39</v>
      </c>
      <c r="K15" s="1"/>
      <c r="L15" s="19" t="s">
        <v>40</v>
      </c>
      <c r="M15" s="16" t="s">
        <v>23</v>
      </c>
      <c r="N15" s="1"/>
      <c r="O15" s="22"/>
      <c r="P15" s="22"/>
      <c r="Q15" s="22"/>
      <c r="R15" s="22" t="s">
        <v>41</v>
      </c>
      <c r="S15" s="22" t="s">
        <v>42</v>
      </c>
      <c r="T15" s="22"/>
      <c r="U15" s="22"/>
      <c r="Z15" s="1"/>
      <c r="AA15" s="1"/>
    </row>
    <row r="16" ht="28.5">
      <c r="A16" s="1"/>
      <c r="B16" s="26" t="s">
        <v>43</v>
      </c>
      <c r="C16" s="26" t="s">
        <v>44</v>
      </c>
      <c r="D16" s="28">
        <v>1</v>
      </c>
      <c r="F16" t="s">
        <v>45</v>
      </c>
      <c r="G16" s="16" t="s">
        <v>46</v>
      </c>
      <c r="H16" s="1"/>
      <c r="I16" t="s">
        <v>47</v>
      </c>
      <c r="J16" s="16" t="s">
        <v>23</v>
      </c>
      <c r="K16" s="1"/>
      <c r="N16" s="1"/>
      <c r="O16" s="2"/>
      <c r="P16" s="2"/>
      <c r="Q16" s="2"/>
      <c r="R16" s="2" t="s">
        <v>48</v>
      </c>
      <c r="S16" s="2" t="s">
        <v>49</v>
      </c>
      <c r="T16" s="2"/>
      <c r="U16" s="2"/>
      <c r="X16" s="5"/>
      <c r="Z16" s="1"/>
      <c r="AA16" s="1"/>
    </row>
    <row r="17" ht="16.5">
      <c r="A17" s="1"/>
      <c r="B17" t="s">
        <v>50</v>
      </c>
      <c r="D17" s="28">
        <v>1</v>
      </c>
      <c r="F17" s="4"/>
      <c r="G17" s="16"/>
      <c r="H17" s="1"/>
      <c r="I17" s="4"/>
      <c r="J17" s="16"/>
      <c r="K17" s="1"/>
      <c r="N17" s="1"/>
      <c r="O17" s="2"/>
      <c r="P17" s="2"/>
      <c r="Q17" s="2"/>
      <c r="R17" s="2"/>
      <c r="S17" s="2"/>
      <c r="T17" s="2"/>
      <c r="U17" s="2"/>
      <c r="X17" s="5"/>
      <c r="Z17" s="1"/>
      <c r="AA17" s="1"/>
    </row>
    <row r="18" ht="15.5" customHeight="1">
      <c r="A18" s="1"/>
      <c r="B18" s="4" t="s">
        <v>51</v>
      </c>
      <c r="D18" s="28">
        <v>1</v>
      </c>
      <c r="F18" s="29" t="s">
        <v>52</v>
      </c>
      <c r="G18" s="15"/>
      <c r="H18" s="1"/>
      <c r="I18" s="30" t="s">
        <v>53</v>
      </c>
      <c r="J18" s="16" t="s">
        <v>23</v>
      </c>
      <c r="K18" s="1"/>
      <c r="L18" s="19" t="s">
        <v>54</v>
      </c>
      <c r="M18" s="16" t="s">
        <v>23</v>
      </c>
      <c r="N18" s="1"/>
      <c r="O18" s="22"/>
      <c r="P18" s="22"/>
      <c r="Q18" s="22" t="s">
        <v>55</v>
      </c>
      <c r="R18" s="22"/>
      <c r="S18" s="22"/>
      <c r="T18" s="22"/>
      <c r="U18" s="22"/>
      <c r="Z18" s="1"/>
      <c r="AA18" s="1"/>
    </row>
    <row r="19" ht="42.75">
      <c r="A19" s="1"/>
      <c r="B19" s="31" t="s">
        <v>56</v>
      </c>
      <c r="D19" s="32">
        <v>0</v>
      </c>
      <c r="F19" t="s">
        <v>57</v>
      </c>
      <c r="G19" s="16" t="s">
        <v>23</v>
      </c>
      <c r="H19" s="1"/>
      <c r="K19" s="1"/>
      <c r="N19" s="1"/>
      <c r="O19" s="2"/>
      <c r="P19" s="2"/>
      <c r="Q19" s="2"/>
      <c r="R19" s="2"/>
      <c r="S19" s="2"/>
      <c r="T19" s="2"/>
      <c r="U19" s="2"/>
      <c r="Z19" s="1"/>
      <c r="AA19" s="1"/>
    </row>
    <row r="20" ht="28.5">
      <c r="A20" s="1"/>
      <c r="B20" s="26" t="s">
        <v>58</v>
      </c>
      <c r="D20" s="28">
        <v>1</v>
      </c>
      <c r="F20" s="15" t="s">
        <v>59</v>
      </c>
      <c r="G20" s="16" t="s">
        <v>23</v>
      </c>
      <c r="H20" s="1"/>
      <c r="I20" s="18" t="s">
        <v>60</v>
      </c>
      <c r="J20" s="16" t="s">
        <v>23</v>
      </c>
      <c r="K20" s="1"/>
      <c r="L20" s="19" t="s">
        <v>61</v>
      </c>
      <c r="M20" s="33" t="s">
        <v>62</v>
      </c>
      <c r="N20" s="1"/>
      <c r="O20" s="22"/>
      <c r="P20" s="22"/>
      <c r="Q20" s="22"/>
      <c r="R20" s="22"/>
      <c r="S20" s="22"/>
      <c r="T20" s="22"/>
      <c r="U20" s="22"/>
      <c r="Z20" s="1"/>
      <c r="AA20" s="1"/>
    </row>
    <row r="21" ht="185.25">
      <c r="A21" s="1"/>
      <c r="B21" s="34" t="s">
        <v>63</v>
      </c>
      <c r="D21" s="32">
        <v>0.45000000000000001</v>
      </c>
      <c r="F21" t="s">
        <v>64</v>
      </c>
      <c r="G21" s="16" t="s">
        <v>23</v>
      </c>
      <c r="H21" s="1"/>
      <c r="K21" s="1"/>
      <c r="L21" t="s">
        <v>65</v>
      </c>
      <c r="M21" s="33" t="s">
        <v>62</v>
      </c>
      <c r="N21" s="1"/>
      <c r="O21" s="2"/>
      <c r="P21" s="2"/>
      <c r="Q21" s="2"/>
      <c r="R21" s="2"/>
      <c r="S21" s="2"/>
      <c r="T21" s="2"/>
      <c r="U21" s="2"/>
      <c r="X21" t="s">
        <v>66</v>
      </c>
      <c r="Z21" s="1"/>
      <c r="AA21" s="1"/>
    </row>
    <row r="22" ht="16.5">
      <c r="A22" s="1"/>
      <c r="D22" s="32"/>
      <c r="F22" s="15"/>
      <c r="G22" s="15"/>
      <c r="H22" s="1"/>
      <c r="I22" s="18" t="s">
        <v>67</v>
      </c>
      <c r="J22" s="16" t="s">
        <v>23</v>
      </c>
      <c r="K22" s="1"/>
      <c r="L22" s="19" t="s">
        <v>68</v>
      </c>
      <c r="M22" s="33" t="s">
        <v>62</v>
      </c>
      <c r="N22" s="1"/>
      <c r="O22" s="21" t="s">
        <v>69</v>
      </c>
      <c r="P22" s="22" t="s">
        <v>70</v>
      </c>
      <c r="Q22" s="22"/>
      <c r="R22" s="22"/>
      <c r="S22" s="22"/>
      <c r="T22" s="22"/>
      <c r="U22" s="22"/>
      <c r="X22" s="5" t="s">
        <v>71</v>
      </c>
      <c r="Z22" s="1"/>
      <c r="AA22" s="1"/>
    </row>
    <row r="23" ht="16.5">
      <c r="A23" s="1"/>
      <c r="D23" s="32"/>
      <c r="H23" s="1"/>
      <c r="I23" s="35"/>
      <c r="J23" s="35"/>
      <c r="K23" s="1"/>
      <c r="L23" t="s">
        <v>72</v>
      </c>
      <c r="M23" s="33" t="s">
        <v>62</v>
      </c>
      <c r="N23" s="1"/>
      <c r="O23" s="2"/>
      <c r="P23" s="2"/>
      <c r="Q23" s="2" t="s">
        <v>73</v>
      </c>
      <c r="R23" s="2"/>
      <c r="S23" s="2"/>
      <c r="T23" s="2"/>
      <c r="U23" s="2"/>
      <c r="X23" t="s">
        <v>74</v>
      </c>
      <c r="Z23" s="1"/>
      <c r="AA23" s="1"/>
    </row>
    <row r="24" ht="16.5">
      <c r="A24" s="1"/>
      <c r="F24" s="36" t="s">
        <v>75</v>
      </c>
      <c r="G24" s="16" t="s">
        <v>23</v>
      </c>
      <c r="H24" s="37"/>
      <c r="I24" s="38"/>
      <c r="J24" s="39"/>
      <c r="K24" s="1"/>
      <c r="L24" s="19" t="s">
        <v>76</v>
      </c>
      <c r="M24" s="19" t="s">
        <v>77</v>
      </c>
      <c r="N24" s="1"/>
      <c r="O24" s="22"/>
      <c r="P24" s="22"/>
      <c r="Q24" s="22"/>
      <c r="R24" s="22"/>
      <c r="S24" s="22"/>
      <c r="T24" s="22"/>
      <c r="U24" s="22"/>
      <c r="Z24" s="1"/>
      <c r="AA24" s="1"/>
    </row>
    <row r="25" ht="16.5">
      <c r="A25" s="1"/>
      <c r="B25" s="12" t="s">
        <v>78</v>
      </c>
      <c r="C25" s="13"/>
      <c r="D25" s="40">
        <f>SUM(D26:D31)/5</f>
        <v>0</v>
      </c>
      <c r="F25" s="1"/>
      <c r="G25" s="1"/>
      <c r="H25" s="1"/>
      <c r="I25" s="1"/>
      <c r="J25" s="1"/>
      <c r="K25" s="1"/>
      <c r="N25" s="1"/>
      <c r="O25" s="2"/>
      <c r="P25" s="2"/>
      <c r="Q25" s="2"/>
      <c r="R25" s="2"/>
      <c r="S25" s="2"/>
      <c r="T25" s="2"/>
      <c r="U25" s="2"/>
      <c r="Z25" s="1"/>
      <c r="AA25" s="1"/>
    </row>
    <row r="26" ht="16.5">
      <c r="A26" s="1"/>
      <c r="B26" t="s">
        <v>79</v>
      </c>
      <c r="C26" t="s">
        <v>80</v>
      </c>
      <c r="D26" s="32">
        <v>0</v>
      </c>
      <c r="F26" s="1"/>
      <c r="G26" s="1"/>
      <c r="H26" s="1"/>
      <c r="I26" s="1"/>
      <c r="J26" s="1"/>
      <c r="K26" s="1"/>
      <c r="L26" s="19"/>
      <c r="M26" s="19"/>
      <c r="N26" s="1"/>
      <c r="O26" s="21" t="s">
        <v>81</v>
      </c>
      <c r="P26" s="22" t="s">
        <v>82</v>
      </c>
      <c r="Q26" s="22"/>
      <c r="R26" s="22"/>
      <c r="S26" s="22"/>
      <c r="T26" s="22"/>
      <c r="U26" s="22"/>
      <c r="Z26" s="1"/>
      <c r="AA26" s="1"/>
    </row>
    <row r="27" ht="16.5">
      <c r="A27" s="1"/>
      <c r="C27" t="s">
        <v>83</v>
      </c>
      <c r="D27" s="32">
        <v>0</v>
      </c>
      <c r="N27" s="1"/>
      <c r="O27" s="2"/>
      <c r="P27" s="2"/>
      <c r="Q27" s="2"/>
      <c r="R27" s="2"/>
      <c r="S27" s="2"/>
      <c r="T27" s="2"/>
      <c r="U27" s="2"/>
      <c r="X27" t="s">
        <v>84</v>
      </c>
      <c r="Z27" s="1"/>
      <c r="AA27" s="1"/>
    </row>
    <row r="28" ht="16.5">
      <c r="A28" s="1"/>
      <c r="B28" t="s">
        <v>85</v>
      </c>
      <c r="D28" s="32">
        <v>0</v>
      </c>
      <c r="L28" s="19"/>
      <c r="M28" s="19"/>
      <c r="N28" s="1"/>
      <c r="O28" s="22"/>
      <c r="P28" s="22"/>
      <c r="Q28" s="22"/>
      <c r="R28" s="22"/>
      <c r="S28" s="22"/>
      <c r="T28" s="22"/>
      <c r="U28" s="22"/>
      <c r="X28" t="s">
        <v>86</v>
      </c>
      <c r="Z28" s="1"/>
      <c r="AA28" s="1"/>
    </row>
    <row r="29" ht="16.5">
      <c r="A29" s="1"/>
      <c r="B29" t="s">
        <v>87</v>
      </c>
      <c r="C29" t="s">
        <v>88</v>
      </c>
      <c r="D29" s="32">
        <v>0</v>
      </c>
      <c r="M29" s="1"/>
      <c r="N29" s="1"/>
      <c r="O29" s="2"/>
      <c r="P29" s="2"/>
      <c r="Q29" s="2"/>
      <c r="R29" s="2"/>
      <c r="S29" s="2"/>
      <c r="T29" s="2"/>
      <c r="U29" s="2"/>
      <c r="Z29" s="1"/>
      <c r="AA29" s="1"/>
    </row>
    <row r="30" ht="16.5">
      <c r="A30" s="1"/>
      <c r="B30" s="4" t="s">
        <v>89</v>
      </c>
      <c r="C30" s="4" t="s">
        <v>90</v>
      </c>
      <c r="D30" s="32">
        <v>0</v>
      </c>
      <c r="L30" s="19"/>
      <c r="M30" s="19"/>
      <c r="N30" s="1"/>
      <c r="O30" s="1"/>
      <c r="P30" s="1"/>
      <c r="Q30" s="1"/>
      <c r="R30" s="1"/>
      <c r="S30" s="1"/>
      <c r="T30" s="1"/>
      <c r="U30" s="1"/>
      <c r="Z30" s="1"/>
      <c r="AA30" s="1"/>
    </row>
    <row r="31" ht="16.5">
      <c r="A31" s="1"/>
      <c r="B31" s="4" t="s">
        <v>91</v>
      </c>
      <c r="D31" s="32">
        <v>0</v>
      </c>
      <c r="N31" s="1"/>
      <c r="O31" s="1"/>
      <c r="P31" s="1"/>
      <c r="Q31" s="1"/>
      <c r="R31" s="1"/>
      <c r="S31" s="1"/>
      <c r="T31" s="1"/>
      <c r="U31" s="1"/>
      <c r="Z31" s="1"/>
      <c r="AA31" s="1"/>
    </row>
    <row r="32" ht="28.5">
      <c r="A32" s="1"/>
      <c r="B32" s="4"/>
      <c r="D32" s="32"/>
      <c r="L32" s="19" t="s">
        <v>92</v>
      </c>
      <c r="M32" s="19"/>
      <c r="N32" s="1"/>
    </row>
    <row r="33" ht="16.5">
      <c r="A33" s="1"/>
      <c r="B33" s="4"/>
      <c r="D33" s="32"/>
      <c r="L33" t="s">
        <v>93</v>
      </c>
      <c r="N33" s="1"/>
      <c r="O33" s="1"/>
      <c r="P33" s="1"/>
      <c r="Q33" s="1"/>
      <c r="R33" s="1"/>
      <c r="S33" s="1"/>
      <c r="T33" s="1"/>
      <c r="U33" s="1"/>
    </row>
    <row r="34" ht="16.5">
      <c r="A34" s="1"/>
      <c r="L34" s="19"/>
      <c r="M34" s="19"/>
      <c r="N34" s="1"/>
      <c r="O34" s="1"/>
      <c r="P34" s="1"/>
      <c r="Q34" s="1"/>
      <c r="R34" s="1"/>
      <c r="S34" s="1"/>
      <c r="T34" s="1"/>
      <c r="U34" s="1"/>
    </row>
    <row r="35" ht="16.5">
      <c r="A35" s="1"/>
      <c r="B35" s="41" t="s">
        <v>94</v>
      </c>
      <c r="C35" s="13"/>
      <c r="D35" s="40">
        <f>SUM(D36:D39)/4</f>
        <v>0</v>
      </c>
      <c r="L35" s="1"/>
      <c r="M35" s="1"/>
      <c r="N35" s="1"/>
      <c r="O35" s="1"/>
      <c r="P35" s="1"/>
      <c r="Q35" s="1"/>
      <c r="R35" s="1"/>
      <c r="S35" s="1"/>
      <c r="T35" s="2"/>
      <c r="U35" s="1"/>
    </row>
    <row r="36" ht="16.5">
      <c r="A36" s="1"/>
      <c r="B36" s="4" t="s">
        <v>95</v>
      </c>
      <c r="C36" s="4" t="s">
        <v>96</v>
      </c>
      <c r="D36" s="32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6.5">
      <c r="A37" s="1"/>
      <c r="B37" s="4" t="s">
        <v>97</v>
      </c>
      <c r="C37" s="4" t="s">
        <v>98</v>
      </c>
      <c r="D37" s="32">
        <v>0</v>
      </c>
      <c r="L37" s="2"/>
      <c r="M37" s="2"/>
      <c r="N37" s="1"/>
      <c r="O37" s="2"/>
      <c r="P37" s="2"/>
      <c r="Q37" s="2"/>
      <c r="R37" s="2"/>
      <c r="S37" s="2"/>
      <c r="T37" s="2"/>
      <c r="U37" s="2"/>
    </row>
    <row r="38" ht="16.5">
      <c r="A38" s="1"/>
      <c r="B38" s="4" t="s">
        <v>99</v>
      </c>
      <c r="C38" s="4" t="s">
        <v>100</v>
      </c>
      <c r="D38" s="32">
        <v>0</v>
      </c>
      <c r="L38" s="2"/>
      <c r="M38" s="2"/>
      <c r="N38" s="1"/>
      <c r="O38" s="2"/>
      <c r="P38" s="2"/>
      <c r="Q38" s="2"/>
      <c r="R38" s="2"/>
      <c r="S38" s="2"/>
      <c r="T38" s="2"/>
      <c r="U38" s="2"/>
    </row>
    <row r="39" ht="28.5">
      <c r="A39" s="1"/>
      <c r="B39" s="4" t="s">
        <v>101</v>
      </c>
      <c r="C39" s="26" t="s">
        <v>102</v>
      </c>
      <c r="D39" s="32">
        <v>0</v>
      </c>
    </row>
    <row r="40" ht="16.5">
      <c r="A40" s="1"/>
    </row>
    <row r="41" ht="16.5">
      <c r="A41" s="1"/>
      <c r="B41" s="5" t="s">
        <v>103</v>
      </c>
      <c r="C41" s="4"/>
      <c r="D41" s="4"/>
    </row>
    <row r="42" ht="16.5">
      <c r="A42" s="1"/>
      <c r="B42" s="4" t="s">
        <v>104</v>
      </c>
      <c r="C42" s="4"/>
      <c r="D42" s="4"/>
    </row>
    <row r="43" ht="16.5">
      <c r="A43" s="1"/>
    </row>
    <row r="44" ht="16.5">
      <c r="A44" s="1"/>
      <c r="B44" t="s">
        <v>105</v>
      </c>
    </row>
    <row r="45" ht="16.5">
      <c r="A45" s="1"/>
    </row>
    <row r="46" ht="14.25">
      <c r="A46" s="1"/>
    </row>
    <row r="47" ht="14.25">
      <c r="A47" s="1"/>
      <c r="B47" t="s">
        <v>106</v>
      </c>
    </row>
    <row r="48" ht="14.25">
      <c r="A48" s="1"/>
    </row>
    <row r="49" ht="14.25">
      <c r="A49" s="1"/>
      <c r="B49" t="s">
        <v>107</v>
      </c>
    </row>
    <row r="50" ht="14.25">
      <c r="A50" s="1"/>
      <c r="B50" t="s">
        <v>108</v>
      </c>
    </row>
    <row r="51" ht="14.25">
      <c r="A51" s="1"/>
    </row>
    <row r="52" ht="16.5">
      <c r="A52" s="1"/>
    </row>
    <row r="53" ht="16.5">
      <c r="A53" s="1"/>
      <c r="B53" t="s">
        <v>109</v>
      </c>
    </row>
    <row r="54" ht="16.5">
      <c r="A54" s="1"/>
      <c r="B54" t="s">
        <v>110</v>
      </c>
      <c r="F54" s="2"/>
      <c r="G54" s="2"/>
      <c r="H54" s="2"/>
      <c r="I54" s="2"/>
      <c r="J54" s="2"/>
      <c r="K54" s="2"/>
      <c r="L54" s="2"/>
      <c r="M54" s="2"/>
      <c r="N54" s="2"/>
      <c r="O54" s="1"/>
    </row>
    <row r="55" ht="16.5">
      <c r="A55" s="1"/>
      <c r="F55" s="2"/>
      <c r="G55" s="2"/>
      <c r="H55" s="2"/>
      <c r="I55" s="2"/>
      <c r="J55" s="2"/>
      <c r="K55" s="2"/>
      <c r="L55" s="2"/>
      <c r="M55" s="2"/>
      <c r="N55" s="2"/>
      <c r="O55" s="1"/>
    </row>
    <row r="56" ht="16.5">
      <c r="A56" s="1"/>
      <c r="F56" s="2"/>
      <c r="G56" s="2"/>
      <c r="H56" s="2"/>
      <c r="I56" s="2"/>
      <c r="J56" s="2"/>
      <c r="K56" s="2"/>
      <c r="L56" s="2"/>
      <c r="M56" s="2"/>
      <c r="N56" s="2"/>
      <c r="O56" s="1"/>
    </row>
    <row r="57" ht="16.5">
      <c r="A57" s="1"/>
      <c r="F57" s="1"/>
      <c r="G57" s="1"/>
      <c r="H57" s="2"/>
      <c r="I57" s="2"/>
      <c r="J57" s="2"/>
      <c r="K57" s="2"/>
      <c r="L57" s="2"/>
      <c r="M57" s="2"/>
      <c r="N57" s="2"/>
      <c r="O57" s="1"/>
    </row>
    <row r="58" ht="16.5">
      <c r="A58" s="1"/>
      <c r="F58" s="1"/>
      <c r="G58" s="1"/>
      <c r="H58" s="2"/>
      <c r="I58" s="2"/>
      <c r="J58" s="2"/>
      <c r="K58" s="2"/>
      <c r="L58" s="2"/>
      <c r="M58" s="2"/>
      <c r="N58" s="2"/>
      <c r="O58" s="1"/>
    </row>
    <row r="68" ht="14.25">
      <c r="B68" s="5" t="s">
        <v>111</v>
      </c>
    </row>
    <row r="69" ht="14.25">
      <c r="B69" t="s">
        <v>112</v>
      </c>
    </row>
    <row r="70" ht="14.25">
      <c r="B70" t="s">
        <v>113</v>
      </c>
    </row>
    <row r="71" ht="14.25">
      <c r="B71" t="s">
        <v>114</v>
      </c>
    </row>
    <row r="72" ht="14.25">
      <c r="B72" t="s">
        <v>115</v>
      </c>
    </row>
    <row r="73" ht="14.25">
      <c r="B73" t="s">
        <v>116</v>
      </c>
    </row>
    <row r="74" ht="14.25">
      <c r="B74" t="s">
        <v>117</v>
      </c>
    </row>
    <row r="75" ht="14.25">
      <c r="B75" t="s">
        <v>118</v>
      </c>
    </row>
    <row r="76" ht="14.25">
      <c r="B76" t="s">
        <v>119</v>
      </c>
    </row>
    <row r="77" ht="14.25">
      <c r="B77" t="s">
        <v>120</v>
      </c>
      <c r="C77" t="s">
        <v>66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5" activeCellId="0" sqref="C5"/>
    </sheetView>
  </sheetViews>
  <sheetFormatPr baseColWidth="10" defaultRowHeight="14.4"/>
  <cols>
    <col customWidth="1" min="2" max="2" width="43.5546875"/>
    <col customWidth="1" min="3" max="3" width="102.44140625"/>
    <col customWidth="1" min="6" max="6" width="25.109375"/>
    <col customWidth="1" min="7" max="7" width="77"/>
  </cols>
  <sheetData>
    <row r="1" ht="15"/>
    <row r="2" ht="15">
      <c r="F2" s="42" t="s">
        <v>121</v>
      </c>
      <c r="G2" s="43" t="s">
        <v>122</v>
      </c>
    </row>
    <row r="3">
      <c r="F3" s="44" t="s">
        <v>123</v>
      </c>
      <c r="G3" s="45" t="s">
        <v>124</v>
      </c>
    </row>
    <row r="4">
      <c r="F4" s="46" t="s">
        <v>125</v>
      </c>
      <c r="G4" s="47" t="s">
        <v>126</v>
      </c>
    </row>
    <row r="5" ht="15">
      <c r="F5" s="48" t="s">
        <v>127</v>
      </c>
      <c r="G5" s="49" t="s">
        <v>128</v>
      </c>
    </row>
    <row r="6" ht="15">
      <c r="F6" s="50"/>
      <c r="G6" s="51" t="s">
        <v>129</v>
      </c>
    </row>
    <row r="7" ht="15">
      <c r="F7" s="50"/>
      <c r="G7" s="51" t="s">
        <v>130</v>
      </c>
    </row>
    <row r="8" ht="15">
      <c r="F8" s="50"/>
      <c r="G8" s="51" t="s">
        <v>131</v>
      </c>
    </row>
    <row r="9" ht="15">
      <c r="B9" t="s">
        <v>132</v>
      </c>
      <c r="F9" s="50"/>
      <c r="G9" s="51" t="s">
        <v>133</v>
      </c>
    </row>
    <row r="10" ht="15">
      <c r="B10" t="s">
        <v>134</v>
      </c>
      <c r="C10" s="52" t="s">
        <v>135</v>
      </c>
      <c r="F10" s="50"/>
      <c r="G10" s="51" t="s">
        <v>136</v>
      </c>
    </row>
    <row r="11" ht="15">
      <c r="C11" s="53" t="s">
        <v>137</v>
      </c>
      <c r="F11" s="50"/>
      <c r="G11" s="51" t="s">
        <v>138</v>
      </c>
    </row>
    <row r="12" ht="15">
      <c r="C12" s="52" t="s">
        <v>139</v>
      </c>
      <c r="F12" s="44"/>
      <c r="G12" s="54" t="s">
        <v>140</v>
      </c>
    </row>
    <row r="13" ht="15">
      <c r="C13" s="53" t="s">
        <v>141</v>
      </c>
      <c r="F13" s="46" t="s">
        <v>142</v>
      </c>
      <c r="G13" s="55" t="s">
        <v>143</v>
      </c>
    </row>
    <row r="14" ht="15">
      <c r="C14" s="52" t="s">
        <v>144</v>
      </c>
      <c r="F14" s="56" t="s">
        <v>145</v>
      </c>
      <c r="G14" s="57" t="s">
        <v>146</v>
      </c>
    </row>
    <row r="15">
      <c r="C15" s="53" t="s">
        <v>147</v>
      </c>
      <c r="F15" s="58" t="s">
        <v>148</v>
      </c>
      <c r="G15" s="59" t="s">
        <v>149</v>
      </c>
    </row>
    <row r="16">
      <c r="C16" s="53" t="s">
        <v>150</v>
      </c>
      <c r="F16" s="60" t="s">
        <v>151</v>
      </c>
      <c r="G16" s="61" t="s">
        <v>152</v>
      </c>
    </row>
    <row r="17">
      <c r="C17" s="52" t="s">
        <v>153</v>
      </c>
      <c r="F17" s="60"/>
      <c r="G17" s="61" t="s">
        <v>154</v>
      </c>
    </row>
    <row r="18">
      <c r="C18" s="53" t="s">
        <v>155</v>
      </c>
      <c r="F18" s="60"/>
      <c r="G18" s="61" t="s">
        <v>156</v>
      </c>
    </row>
    <row r="19">
      <c r="C19" s="53" t="s">
        <v>157</v>
      </c>
      <c r="F19" s="60"/>
      <c r="G19" s="61" t="s">
        <v>158</v>
      </c>
    </row>
    <row r="20">
      <c r="C20" s="53" t="s">
        <v>159</v>
      </c>
      <c r="F20" s="60"/>
      <c r="G20" s="61" t="s">
        <v>160</v>
      </c>
    </row>
    <row r="21">
      <c r="C21" s="53" t="s">
        <v>161</v>
      </c>
      <c r="F21" s="60"/>
      <c r="G21" s="61" t="s">
        <v>162</v>
      </c>
    </row>
    <row r="22">
      <c r="C22" s="52" t="s">
        <v>163</v>
      </c>
      <c r="F22" s="60"/>
      <c r="G22" s="61" t="s">
        <v>164</v>
      </c>
    </row>
    <row r="23">
      <c r="C23" s="53" t="s">
        <v>165</v>
      </c>
      <c r="F23" s="60"/>
      <c r="G23" s="61" t="s">
        <v>166</v>
      </c>
    </row>
    <row r="24">
      <c r="C24" s="52" t="s">
        <v>167</v>
      </c>
      <c r="F24" s="60"/>
      <c r="G24" s="61" t="s">
        <v>168</v>
      </c>
    </row>
    <row r="25">
      <c r="C25" s="53" t="s">
        <v>169</v>
      </c>
      <c r="F25" s="60"/>
      <c r="G25" s="61" t="s">
        <v>170</v>
      </c>
    </row>
    <row r="26">
      <c r="F26" s="60"/>
      <c r="G26" s="61" t="s">
        <v>171</v>
      </c>
    </row>
    <row r="27">
      <c r="F27" s="60"/>
      <c r="G27" s="61"/>
    </row>
    <row r="28">
      <c r="F28" s="60"/>
      <c r="G28" s="61" t="s">
        <v>172</v>
      </c>
    </row>
    <row r="29">
      <c r="F29" s="60"/>
      <c r="G29" s="61" t="s">
        <v>173</v>
      </c>
    </row>
    <row r="30">
      <c r="C30" s="62"/>
      <c r="F30" s="60"/>
      <c r="G30" s="61" t="s">
        <v>174</v>
      </c>
    </row>
    <row r="31">
      <c r="F31" s="60"/>
      <c r="G31" s="63" t="s">
        <v>175</v>
      </c>
    </row>
    <row r="32">
      <c r="C32" s="25"/>
      <c r="F32" s="56" t="s">
        <v>176</v>
      </c>
      <c r="G32" s="64" t="s">
        <v>177</v>
      </c>
    </row>
    <row r="33">
      <c r="C33" s="53"/>
    </row>
    <row r="34">
      <c r="C34" s="53"/>
    </row>
    <row r="36">
      <c r="C36" s="62"/>
    </row>
    <row r="38">
      <c r="C38" s="25"/>
    </row>
    <row r="39">
      <c r="C39" s="53"/>
    </row>
    <row r="40">
      <c r="C40" s="5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B16" activeCellId="0" sqref="B16"/>
    </sheetView>
  </sheetViews>
  <sheetFormatPr baseColWidth="10" defaultRowHeight="14.25"/>
  <cols>
    <col bestFit="1" customWidth="1" min="1" max="1" width="17.77734375"/>
    <col bestFit="1" customWidth="1" min="2" max="2" width="111.21875"/>
    <col bestFit="1" customWidth="1" min="4" max="4" width="78.44140625"/>
    <col bestFit="1" customWidth="1" min="5" max="5" width="43.5546875"/>
    <col customWidth="1" min="6" max="6" width="24.21875"/>
    <col bestFit="1" customWidth="1" min="7" max="7" width="66"/>
    <col bestFit="1" customWidth="1" min="8" max="8" width="53"/>
    <col bestFit="1" customWidth="1" min="9" max="9" width="31.21875"/>
    <col customWidth="1" min="10" max="10" width="32.88671875"/>
    <col bestFit="1" customWidth="1" min="11" max="11" width="32.77734375"/>
  </cols>
  <sheetData>
    <row r="5">
      <c r="A5" t="s">
        <v>178</v>
      </c>
      <c r="B5" t="s">
        <v>179</v>
      </c>
      <c r="D5" s="65" t="s">
        <v>180</v>
      </c>
      <c r="E5" t="s">
        <v>99</v>
      </c>
      <c r="F5" t="s">
        <v>95</v>
      </c>
      <c r="G5" t="s">
        <v>181</v>
      </c>
      <c r="H5" t="s">
        <v>182</v>
      </c>
      <c r="I5" t="s">
        <v>183</v>
      </c>
      <c r="J5" t="s">
        <v>184</v>
      </c>
      <c r="K5" t="s">
        <v>185</v>
      </c>
    </row>
    <row r="6">
      <c r="A6" t="s">
        <v>186</v>
      </c>
      <c r="B6" t="s">
        <v>187</v>
      </c>
      <c r="D6" s="66" t="s">
        <v>188</v>
      </c>
      <c r="E6" t="s">
        <v>189</v>
      </c>
      <c r="F6" t="s">
        <v>190</v>
      </c>
      <c r="G6" t="s">
        <v>191</v>
      </c>
      <c r="H6" s="67" t="s">
        <v>192</v>
      </c>
      <c r="I6" t="s">
        <v>193</v>
      </c>
      <c r="J6" t="s">
        <v>194</v>
      </c>
      <c r="K6" t="s">
        <v>195</v>
      </c>
    </row>
    <row r="7">
      <c r="A7" t="s">
        <v>196</v>
      </c>
      <c r="B7" t="s">
        <v>187</v>
      </c>
      <c r="D7" s="68" t="s">
        <v>197</v>
      </c>
      <c r="F7" t="s">
        <v>198</v>
      </c>
      <c r="G7" t="s">
        <v>199</v>
      </c>
      <c r="H7" s="67" t="s">
        <v>200</v>
      </c>
      <c r="K7" t="s">
        <v>201</v>
      </c>
    </row>
    <row r="8">
      <c r="D8" s="66" t="s">
        <v>202</v>
      </c>
      <c r="G8" s="69" t="s">
        <v>203</v>
      </c>
      <c r="H8" s="67" t="s">
        <v>204</v>
      </c>
    </row>
    <row r="9">
      <c r="A9" t="s">
        <v>205</v>
      </c>
      <c r="B9" t="s">
        <v>206</v>
      </c>
      <c r="D9" s="68" t="s">
        <v>207</v>
      </c>
      <c r="H9" s="67" t="s">
        <v>208</v>
      </c>
    </row>
    <row r="10">
      <c r="A10" t="s">
        <v>209</v>
      </c>
      <c r="B10" t="s">
        <v>210</v>
      </c>
      <c r="D10" s="66"/>
      <c r="G10" t="s">
        <v>211</v>
      </c>
      <c r="H10" s="67" t="s">
        <v>212</v>
      </c>
    </row>
    <row r="11">
      <c r="A11" t="s">
        <v>213</v>
      </c>
      <c r="B11" t="s">
        <v>214</v>
      </c>
      <c r="D11" s="68" t="s">
        <v>215</v>
      </c>
      <c r="G11" s="69" t="s">
        <v>216</v>
      </c>
      <c r="H11" s="67" t="s">
        <v>217</v>
      </c>
    </row>
    <row r="12">
      <c r="A12" t="s">
        <v>218</v>
      </c>
      <c r="B12" t="s">
        <v>219</v>
      </c>
      <c r="D12" s="66" t="s">
        <v>220</v>
      </c>
      <c r="G12" s="69" t="s">
        <v>221</v>
      </c>
      <c r="H12" s="67" t="s">
        <v>222</v>
      </c>
    </row>
    <row r="13">
      <c r="A13" t="s">
        <v>223</v>
      </c>
      <c r="B13" t="s">
        <v>224</v>
      </c>
      <c r="D13" s="68" t="s">
        <v>225</v>
      </c>
      <c r="G13" s="69" t="s">
        <v>226</v>
      </c>
    </row>
    <row r="14">
      <c r="D14" s="66" t="s">
        <v>227</v>
      </c>
    </row>
    <row r="15">
      <c r="A15" t="s">
        <v>228</v>
      </c>
      <c r="B15" t="s">
        <v>229</v>
      </c>
      <c r="D15" s="68"/>
    </row>
    <row r="16">
      <c r="A16" t="s">
        <v>230</v>
      </c>
      <c r="B16" t="s">
        <v>231</v>
      </c>
      <c r="D16" s="66"/>
      <c r="G16" t="s">
        <v>232</v>
      </c>
    </row>
    <row r="17">
      <c r="D17" s="68"/>
      <c r="G17" s="69" t="s">
        <v>233</v>
      </c>
    </row>
    <row r="18">
      <c r="A18" t="s">
        <v>234</v>
      </c>
      <c r="D18" s="66"/>
      <c r="G18" s="70" t="s">
        <v>235</v>
      </c>
    </row>
    <row r="19">
      <c r="D19" s="68" t="s">
        <v>236</v>
      </c>
      <c r="E19" t="s">
        <v>237</v>
      </c>
      <c r="G19" s="70" t="s">
        <v>238</v>
      </c>
      <c r="H19" t="s">
        <v>239</v>
      </c>
      <c r="I19" t="s">
        <v>240</v>
      </c>
      <c r="J19" t="s">
        <v>240</v>
      </c>
    </row>
    <row r="20">
      <c r="D20" s="66"/>
      <c r="G20" s="70" t="s">
        <v>241</v>
      </c>
    </row>
    <row r="22">
      <c r="D22" s="66"/>
      <c r="G22" s="70" t="s">
        <v>226</v>
      </c>
    </row>
    <row r="23">
      <c r="G23" s="69"/>
    </row>
    <row r="24">
      <c r="D24" s="66"/>
      <c r="G24" s="69" t="s">
        <v>242</v>
      </c>
    </row>
    <row r="25">
      <c r="G25" s="70" t="s">
        <v>243</v>
      </c>
    </row>
    <row r="26">
      <c r="D26" s="66"/>
      <c r="G26" s="70" t="s">
        <v>244</v>
      </c>
    </row>
    <row r="27">
      <c r="G27" s="70" t="s">
        <v>245</v>
      </c>
    </row>
    <row r="28">
      <c r="D28" s="66"/>
      <c r="G28" s="70" t="s">
        <v>238</v>
      </c>
    </row>
    <row r="35">
      <c r="D35" s="71" t="s">
        <v>246</v>
      </c>
      <c r="E35" t="s">
        <v>247</v>
      </c>
      <c r="F35" s="72" t="s">
        <v>248</v>
      </c>
    </row>
    <row r="36">
      <c r="D36" s="73" t="s">
        <v>249</v>
      </c>
      <c r="E36" t="s">
        <v>250</v>
      </c>
      <c r="F36" s="73" t="s">
        <v>251</v>
      </c>
    </row>
    <row r="37">
      <c r="D37" s="72" t="s">
        <v>252</v>
      </c>
      <c r="E37" t="s">
        <v>253</v>
      </c>
      <c r="F37" s="72" t="s">
        <v>254</v>
      </c>
    </row>
    <row r="38">
      <c r="D38" s="73" t="s">
        <v>255</v>
      </c>
      <c r="E38" t="s">
        <v>256</v>
      </c>
      <c r="F38" s="73" t="s">
        <v>257</v>
      </c>
    </row>
    <row r="39">
      <c r="D39" s="72" t="s">
        <v>258</v>
      </c>
      <c r="E39" t="s">
        <v>259</v>
      </c>
      <c r="F39" s="72" t="s">
        <v>260</v>
      </c>
    </row>
    <row r="40">
      <c r="E40" t="s">
        <v>250</v>
      </c>
      <c r="F40" s="73" t="s">
        <v>261</v>
      </c>
    </row>
    <row r="41">
      <c r="E41" t="s">
        <v>253</v>
      </c>
      <c r="F41" s="72" t="s">
        <v>262</v>
      </c>
    </row>
    <row r="42">
      <c r="E42" t="s">
        <v>263</v>
      </c>
    </row>
    <row r="43">
      <c r="E43" t="s">
        <v>259</v>
      </c>
    </row>
    <row r="44">
      <c r="E44" t="s">
        <v>264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6" tint="0.59999389629810485"/>
    <outlinePr applyStyles="0" summaryBelow="1" summaryRight="1" showOutlineSymbols="1"/>
    <pageSetUpPr autoPageBreaks="1" fitToPage="0"/>
  </sheetPr>
  <sheetViews>
    <sheetView topLeftCell="A34" zoomScale="100" workbookViewId="0">
      <selection activeCell="D56" activeCellId="0" sqref="D56"/>
    </sheetView>
  </sheetViews>
  <sheetFormatPr baseColWidth="10" defaultColWidth="8.88671875" defaultRowHeight="14.4"/>
  <cols>
    <col customWidth="1" min="3" max="3" width="7.6640625"/>
    <col customWidth="1" min="4" max="4" width="134"/>
    <col customWidth="1" min="5" max="5" width="16.44140625"/>
    <col customWidth="1" min="6" max="6" width="17.88671875"/>
  </cols>
  <sheetData>
    <row r="4">
      <c r="D4" s="74" t="s">
        <v>265</v>
      </c>
      <c r="E4" t="s">
        <v>266</v>
      </c>
    </row>
    <row r="5">
      <c r="D5" t="s">
        <v>267</v>
      </c>
      <c r="E5" s="74">
        <v>1</v>
      </c>
    </row>
    <row r="6">
      <c r="D6" s="70" t="s">
        <v>268</v>
      </c>
      <c r="E6" s="74">
        <v>1</v>
      </c>
    </row>
    <row r="7">
      <c r="D7" s="75" t="s">
        <v>269</v>
      </c>
      <c r="E7" s="74">
        <v>1</v>
      </c>
    </row>
    <row r="8">
      <c r="D8" s="70" t="s">
        <v>270</v>
      </c>
      <c r="E8" s="74">
        <v>1</v>
      </c>
    </row>
    <row r="9">
      <c r="D9" s="70"/>
      <c r="E9" s="74"/>
    </row>
    <row r="10">
      <c r="D10" s="67" t="s">
        <v>271</v>
      </c>
      <c r="E10" s="74">
        <v>1</v>
      </c>
    </row>
    <row r="11">
      <c r="D11" s="70" t="s">
        <v>272</v>
      </c>
      <c r="E11" s="74">
        <v>1</v>
      </c>
    </row>
    <row r="12">
      <c r="D12" s="70" t="s">
        <v>273</v>
      </c>
      <c r="E12" s="74">
        <v>1</v>
      </c>
    </row>
    <row r="13">
      <c r="D13" s="70" t="s">
        <v>274</v>
      </c>
      <c r="E13" s="74">
        <v>1</v>
      </c>
    </row>
    <row r="14">
      <c r="D14" s="70"/>
      <c r="E14" s="70"/>
    </row>
    <row r="15">
      <c r="D15" s="67" t="s">
        <v>275</v>
      </c>
      <c r="E15" s="74">
        <v>2</v>
      </c>
    </row>
    <row r="16">
      <c r="D16" s="76" t="s">
        <v>276</v>
      </c>
      <c r="E16" s="74">
        <v>2</v>
      </c>
    </row>
    <row r="17">
      <c r="D17" s="77" t="s">
        <v>277</v>
      </c>
      <c r="E17" s="74">
        <v>2</v>
      </c>
    </row>
    <row r="18">
      <c r="D18" s="77" t="s">
        <v>278</v>
      </c>
      <c r="E18" s="74">
        <v>2</v>
      </c>
    </row>
    <row r="19">
      <c r="D19" s="70"/>
      <c r="E19" s="70"/>
    </row>
    <row r="20">
      <c r="D20" s="67" t="s">
        <v>279</v>
      </c>
      <c r="E20" s="74">
        <v>2</v>
      </c>
    </row>
    <row r="21">
      <c r="D21" s="67" t="s">
        <v>280</v>
      </c>
      <c r="E21" s="74">
        <v>2</v>
      </c>
    </row>
    <row r="22">
      <c r="D22" s="70"/>
      <c r="E22" s="70"/>
    </row>
    <row r="23">
      <c r="D23" s="78"/>
      <c r="E23" s="70"/>
    </row>
    <row r="24">
      <c r="D24" s="70"/>
      <c r="E24" s="70"/>
    </row>
    <row r="25">
      <c r="D25" s="70"/>
      <c r="E25" s="70"/>
    </row>
    <row r="26">
      <c r="D26" s="70"/>
      <c r="E26" s="70"/>
    </row>
    <row r="27">
      <c r="D27" s="70"/>
      <c r="E27" s="70"/>
    </row>
    <row r="28">
      <c r="D28" s="70"/>
      <c r="E28" s="70"/>
    </row>
    <row r="29">
      <c r="D29" s="70"/>
      <c r="E29" s="70"/>
    </row>
    <row r="30">
      <c r="D30" s="70"/>
      <c r="E30" s="70"/>
    </row>
    <row r="39">
      <c r="B39" s="79"/>
      <c r="C39" s="80" t="s">
        <v>281</v>
      </c>
      <c r="D39" s="80" t="s">
        <v>282</v>
      </c>
      <c r="E39" t="s">
        <v>266</v>
      </c>
      <c r="F39" t="s">
        <v>20</v>
      </c>
    </row>
    <row r="40">
      <c r="C40" s="81">
        <v>1</v>
      </c>
      <c r="D40" s="5" t="s">
        <v>283</v>
      </c>
      <c r="E40" s="74"/>
    </row>
    <row r="41">
      <c r="C41" s="74" t="s">
        <v>284</v>
      </c>
      <c r="D41" s="70" t="s">
        <v>285</v>
      </c>
      <c r="E41" s="74"/>
    </row>
    <row r="42" ht="14.25" customHeight="1">
      <c r="C42" s="74" t="s">
        <v>286</v>
      </c>
      <c r="D42" s="70" t="s">
        <v>287</v>
      </c>
    </row>
    <row r="43">
      <c r="C43" s="74" t="s">
        <v>288</v>
      </c>
      <c r="D43" s="70" t="s">
        <v>289</v>
      </c>
    </row>
    <row r="44">
      <c r="C44" s="82" t="s">
        <v>290</v>
      </c>
      <c r="D44" s="75" t="s">
        <v>291</v>
      </c>
      <c r="E44" s="83"/>
      <c r="F44" s="83"/>
    </row>
    <row r="45">
      <c r="C45" s="80" t="s">
        <v>292</v>
      </c>
      <c r="D45" s="70" t="s">
        <v>293</v>
      </c>
      <c r="E45" s="74"/>
    </row>
    <row r="46">
      <c r="C46" s="80" t="s">
        <v>294</v>
      </c>
      <c r="D46" s="70" t="s">
        <v>295</v>
      </c>
      <c r="E46" s="74"/>
    </row>
    <row r="47">
      <c r="C47" s="84">
        <v>2</v>
      </c>
      <c r="D47" s="85" t="s">
        <v>296</v>
      </c>
      <c r="E47" s="74"/>
    </row>
    <row r="48">
      <c r="C48" s="82" t="s">
        <v>297</v>
      </c>
      <c r="D48" s="75" t="s">
        <v>298</v>
      </c>
      <c r="E48" s="74"/>
    </row>
    <row r="49">
      <c r="C49" s="81">
        <v>3</v>
      </c>
      <c r="D49" s="5" t="s">
        <v>299</v>
      </c>
      <c r="E49" s="74"/>
    </row>
    <row r="50">
      <c r="C50" s="82" t="s">
        <v>300</v>
      </c>
      <c r="D50" s="75" t="s">
        <v>301</v>
      </c>
      <c r="F50" s="86" t="s">
        <v>302</v>
      </c>
    </row>
    <row r="51">
      <c r="C51" s="82" t="s">
        <v>303</v>
      </c>
      <c r="D51" s="87" t="s">
        <v>304</v>
      </c>
    </row>
    <row r="52">
      <c r="C52" s="82" t="s">
        <v>305</v>
      </c>
      <c r="D52" s="87" t="s">
        <v>306</v>
      </c>
    </row>
    <row r="53">
      <c r="C53" s="82" t="s">
        <v>307</v>
      </c>
      <c r="D53" s="87" t="s">
        <v>308</v>
      </c>
    </row>
    <row r="54">
      <c r="C54" s="82" t="s">
        <v>309</v>
      </c>
      <c r="D54" s="87" t="s">
        <v>310</v>
      </c>
    </row>
    <row r="55">
      <c r="C55" s="88">
        <v>4</v>
      </c>
      <c r="D55" s="88" t="s">
        <v>311</v>
      </c>
    </row>
    <row r="56">
      <c r="C56" s="80" t="s">
        <v>312</v>
      </c>
      <c r="D56" s="70" t="s">
        <v>313</v>
      </c>
    </row>
    <row r="57">
      <c r="C57" s="80" t="s">
        <v>314</v>
      </c>
      <c r="D57" s="87" t="s">
        <v>315</v>
      </c>
    </row>
    <row r="58">
      <c r="C58" s="80" t="s">
        <v>316</v>
      </c>
      <c r="D58" s="87" t="s">
        <v>317</v>
      </c>
    </row>
    <row r="59">
      <c r="C59" s="80" t="s">
        <v>318</v>
      </c>
      <c r="D59" s="87" t="s">
        <v>319</v>
      </c>
      <c r="E59" s="5"/>
      <c r="F59" s="5"/>
    </row>
    <row r="60">
      <c r="C60" s="88">
        <v>5</v>
      </c>
      <c r="D60" s="88" t="s">
        <v>320</v>
      </c>
    </row>
    <row r="61">
      <c r="C61" s="80" t="s">
        <v>321</v>
      </c>
      <c r="D61" s="70" t="s">
        <v>322</v>
      </c>
    </row>
    <row r="62">
      <c r="C62" s="80" t="s">
        <v>323</v>
      </c>
      <c r="D62" s="87" t="s">
        <v>324</v>
      </c>
      <c r="F62" t="s">
        <v>325</v>
      </c>
    </row>
    <row r="63">
      <c r="C63" s="80" t="s">
        <v>326</v>
      </c>
      <c r="D63" s="87" t="s">
        <v>327</v>
      </c>
    </row>
    <row r="64">
      <c r="C64" s="80" t="s">
        <v>328</v>
      </c>
      <c r="D64" s="87" t="s">
        <v>329</v>
      </c>
    </row>
    <row r="65">
      <c r="C65" s="88">
        <v>6</v>
      </c>
      <c r="D65" s="88" t="s">
        <v>330</v>
      </c>
    </row>
    <row r="66">
      <c r="C66" s="80" t="s">
        <v>331</v>
      </c>
      <c r="D66" s="70" t="s">
        <v>332</v>
      </c>
    </row>
    <row r="67">
      <c r="C67" s="89" t="s">
        <v>333</v>
      </c>
      <c r="D67" s="90" t="s">
        <v>334</v>
      </c>
    </row>
    <row r="68">
      <c r="C68" s="80" t="s">
        <v>335</v>
      </c>
      <c r="D68" s="87" t="s">
        <v>336</v>
      </c>
    </row>
    <row r="69">
      <c r="C69" s="89" t="s">
        <v>337</v>
      </c>
      <c r="D69" s="87" t="s">
        <v>338</v>
      </c>
    </row>
    <row r="70">
      <c r="C70" s="80" t="s">
        <v>339</v>
      </c>
      <c r="D70" s="87" t="s">
        <v>340</v>
      </c>
    </row>
    <row r="71">
      <c r="C71" s="88">
        <v>7</v>
      </c>
      <c r="D71" s="5" t="s">
        <v>341</v>
      </c>
    </row>
    <row r="72">
      <c r="C72" s="80" t="s">
        <v>342</v>
      </c>
      <c r="D72" s="70" t="s">
        <v>343</v>
      </c>
    </row>
    <row r="73">
      <c r="C73" s="88">
        <v>8</v>
      </c>
      <c r="D73" s="5" t="s">
        <v>344</v>
      </c>
    </row>
    <row r="74">
      <c r="C74" s="80" t="s">
        <v>345</v>
      </c>
      <c r="D74" s="70" t="s">
        <v>346</v>
      </c>
    </row>
    <row r="75">
      <c r="C75" s="88">
        <v>9</v>
      </c>
      <c r="D75" s="5" t="s">
        <v>78</v>
      </c>
    </row>
    <row r="76">
      <c r="C76" s="80" t="s">
        <v>347</v>
      </c>
      <c r="D76" s="70" t="s">
        <v>348</v>
      </c>
    </row>
    <row r="77">
      <c r="C77" s="80" t="s">
        <v>349</v>
      </c>
      <c r="D77" s="87" t="s">
        <v>350</v>
      </c>
    </row>
    <row r="78">
      <c r="C78" s="80" t="s">
        <v>351</v>
      </c>
      <c r="D78" s="87" t="s">
        <v>352</v>
      </c>
    </row>
    <row r="79">
      <c r="C79" s="88">
        <v>10</v>
      </c>
      <c r="D79" s="5" t="s">
        <v>353</v>
      </c>
    </row>
    <row r="80">
      <c r="C80" s="80" t="s">
        <v>354</v>
      </c>
      <c r="D80" s="70" t="s">
        <v>355</v>
      </c>
      <c r="E80" s="74"/>
    </row>
    <row r="81">
      <c r="C81" s="80" t="s">
        <v>356</v>
      </c>
      <c r="D81" s="87" t="s">
        <v>357</v>
      </c>
    </row>
    <row r="82">
      <c r="C82" s="88">
        <v>11</v>
      </c>
      <c r="D82" s="5" t="s">
        <v>358</v>
      </c>
    </row>
    <row r="83">
      <c r="C83" s="80" t="s">
        <v>359</v>
      </c>
      <c r="D83" s="70" t="s">
        <v>360</v>
      </c>
    </row>
    <row r="84">
      <c r="C84" s="80" t="s">
        <v>361</v>
      </c>
      <c r="D84" s="70" t="s">
        <v>362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PICHOU</dc:creator>
  <cp:keywords/>
  <dc:description/>
  <cp:revision>13</cp:revision>
  <dcterms:created xsi:type="dcterms:W3CDTF">2023-07-13T10:01:24Z</dcterms:created>
  <dcterms:modified xsi:type="dcterms:W3CDTF">2026-08-09T10:14:28Z</dcterms:modified>
  <cp:category/>
  <cp:contentStatus/>
</cp:coreProperties>
</file>